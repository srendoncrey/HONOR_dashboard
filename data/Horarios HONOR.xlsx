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rarios BBDD" sheetId="1" r:id="rId4"/>
    <sheet state="hidden" name="VACACIONES" sheetId="2" r:id="rId5"/>
    <sheet state="hidden" name="incidencias W45" sheetId="3" r:id="rId6"/>
    <sheet state="hidden" name="BF horarios" sheetId="4" r:id="rId7"/>
    <sheet state="hidden" name="ENERO 26" sheetId="5" r:id="rId8"/>
    <sheet state="hidden" name="FEB 2026" sheetId="6" r:id="rId9"/>
    <sheet state="hidden" name="MAR 2026" sheetId="7" r:id="rId10"/>
    <sheet state="visible" name="ABRIL 2026" sheetId="8" r:id="rId11"/>
    <sheet state="visible" name="CALENDARIO" sheetId="9" r:id="rId12"/>
    <sheet state="hidden" name="Planificados" sheetId="10" r:id="rId13"/>
    <sheet state="hidden" name="Reales" sheetId="11" r:id="rId14"/>
    <sheet state="hidden" name="DICIEMBRE V1" sheetId="12" r:id="rId15"/>
    <sheet state="hidden" name="DICIEMBRE V2" sheetId="13" r:id="rId16"/>
    <sheet state="hidden" name="Domingos" sheetId="14" r:id="rId17"/>
    <sheet state="hidden" name="vacaciones HE" sheetId="15" r:id="rId18"/>
  </sheets>
  <definedNames/>
  <calcPr/>
  <extLst>
    <ext uri="GoogleSheetsCustomDataVersion2">
      <go:sheetsCustomData xmlns:go="http://customooxmlschemas.google.com/" r:id="rId19" roundtripDataChecksum="IzVv/JAsYi+EBwHFNvDXGtUJ6jqRhZA6hUQFj3udpf4="/>
    </ext>
  </extLst>
</workbook>
</file>

<file path=xl/sharedStrings.xml><?xml version="1.0" encoding="utf-8"?>
<sst xmlns="http://schemas.openxmlformats.org/spreadsheetml/2006/main" count="5896" uniqueCount="379">
  <si>
    <t>Horario</t>
  </si>
  <si>
    <t>Horas</t>
  </si>
  <si>
    <t>10:00 - 16:00</t>
  </si>
  <si>
    <t>10:00 - 15:00 y 16:00 - 20:00</t>
  </si>
  <si>
    <t>LIBRE</t>
  </si>
  <si>
    <t>10:00 - 15:00</t>
  </si>
  <si>
    <t>11:00 - 15:00 y 16:00 - 20:00</t>
  </si>
  <si>
    <t>11:00 - 14:00 y 16:00 - 22:00</t>
  </si>
  <si>
    <t>11:00 - 15:00</t>
  </si>
  <si>
    <t>16:00 - 21:00</t>
  </si>
  <si>
    <t>11:00 - 14:00 Y 16:00 - 21:00</t>
  </si>
  <si>
    <t>10:00 - 14:00 y 17:00 - 21:00</t>
  </si>
  <si>
    <t>16:00 - 20:00</t>
  </si>
  <si>
    <t>17:00 - 21:00</t>
  </si>
  <si>
    <t>11:00 - 14:00 y 17:00 - 22:00</t>
  </si>
  <si>
    <t>10:00 - 14:00</t>
  </si>
  <si>
    <t>10:00 - 14:00 y 16:00 - 21:00</t>
  </si>
  <si>
    <t>12:00 - 15:00 y 16:00 - 21:00</t>
  </si>
  <si>
    <t>10:00 - 14:00 y 16:30 - 21:30</t>
  </si>
  <si>
    <t>10:00 - 16:30</t>
  </si>
  <si>
    <t>15:00 - 21:30</t>
  </si>
  <si>
    <t>11:00 - 15:00 y 16:00 - 21:00</t>
  </si>
  <si>
    <t>15:30 - 21:30</t>
  </si>
  <si>
    <t>16:00 - 22:00</t>
  </si>
  <si>
    <t>11:00 - 15:00 y 17:00 - 21:00</t>
  </si>
  <si>
    <t>11:30 - 15:00 y 16:30 - 21:00</t>
  </si>
  <si>
    <t>10:00 - 14:30 y 17:00 - 21:30</t>
  </si>
  <si>
    <t>10:00 - 14:00 y 16:00 - 20:00</t>
  </si>
  <si>
    <t>16:00 - 21:30</t>
  </si>
  <si>
    <t>10:00 - 13:00 y 16:00 a 21:00</t>
  </si>
  <si>
    <t>11:00 - 14:00 y 15:00 - 20:00</t>
  </si>
  <si>
    <t>15:00 - 21:00</t>
  </si>
  <si>
    <t>11:00 - 14:00 y 16:00 - 20:00</t>
  </si>
  <si>
    <t>10:00 - 15:00 y 17:00 - 21:00</t>
  </si>
  <si>
    <t>12:00 - 18:00</t>
  </si>
  <si>
    <t>14:00 - 20:00</t>
  </si>
  <si>
    <t>11:00 - 14:00 y 16:00 - 21:00</t>
  </si>
  <si>
    <t>10:00 - 14:00 y 15:00 - 19:00</t>
  </si>
  <si>
    <t>12:00 - 15:00 y 16:00 - 20:00</t>
  </si>
  <si>
    <t>14:30 - 21:00</t>
  </si>
  <si>
    <t>12:00 - 16:00</t>
  </si>
  <si>
    <t>13:00 - 15:00 y 16:00 - 21:00</t>
  </si>
  <si>
    <t>11:00 - 14:30 y 17:00 - 21:30</t>
  </si>
  <si>
    <t>10:00 - 13:30 y 17:00 - 21:30</t>
  </si>
  <si>
    <t>11:00 - 14:00 y 16:30 - 21:30</t>
  </si>
  <si>
    <t>10:00 -15:00 y 17:00 - 21:00</t>
  </si>
  <si>
    <t>11:00 -15:00 y 17:00 - 21:00</t>
  </si>
  <si>
    <t>11:00 - 14:00 y 15:00 - 21:00</t>
  </si>
  <si>
    <t>15:00 - 17:00</t>
  </si>
  <si>
    <t>11:00 - 15:00 y 17:00 - 19:00</t>
  </si>
  <si>
    <t>10:00 - 13:00 y 16:00 - 21:00</t>
  </si>
  <si>
    <t>12:00 - 14:00 y 15:00 - 21:00</t>
  </si>
  <si>
    <t>10:30 - 14:00 y 17:00 - 21:00</t>
  </si>
  <si>
    <t>10:00 - 14:00 y 18:00 - 22:00</t>
  </si>
  <si>
    <t>10:00 - 14:00 y 15:00 - 20:00</t>
  </si>
  <si>
    <t>10:00 - 14:00 y 17:00 - 21:30</t>
  </si>
  <si>
    <t>10:00 - 15:00 y 16:00 - 19:00</t>
  </si>
  <si>
    <t>10:30 - 13:30 y 17:30 - 20:30</t>
  </si>
  <si>
    <t>11:30 - 15:30 y 16:30 - 20:30</t>
  </si>
  <si>
    <t>10:30 - 14:00 y 17:00 - 21:30</t>
  </si>
  <si>
    <t>11:00 - 15:00 y 16:30 - 21:30</t>
  </si>
  <si>
    <t>14.30 - 21.00</t>
  </si>
  <si>
    <t>16:30 - 20:00</t>
  </si>
  <si>
    <t>11:00 - 16:00</t>
  </si>
  <si>
    <t>10:30 - 13:30 y 16:00 - 21:00</t>
  </si>
  <si>
    <t>CENTRO</t>
  </si>
  <si>
    <t>GPV</t>
  </si>
  <si>
    <t>HORAS</t>
  </si>
  <si>
    <t>Promotor</t>
  </si>
  <si>
    <t>Telefono</t>
  </si>
  <si>
    <t>ECI CORNELLÁ</t>
  </si>
  <si>
    <t>ABRIL</t>
  </si>
  <si>
    <t>ECI PLAZA DEL DUQUE</t>
  </si>
  <si>
    <t>CLARIBEL</t>
  </si>
  <si>
    <t>ECI RONDA CÓRDOBA</t>
  </si>
  <si>
    <t xml:space="preserve">MIGUEL </t>
  </si>
  <si>
    <t>ECI ÁLCALA DE HENARES</t>
  </si>
  <si>
    <t>NOELIA</t>
  </si>
  <si>
    <t>ECI A CORUÑA</t>
  </si>
  <si>
    <t>ALEJANDRO</t>
  </si>
  <si>
    <t>ECI HUELVA</t>
  </si>
  <si>
    <t>MARIO</t>
  </si>
  <si>
    <t>ECI LEÓN</t>
  </si>
  <si>
    <t>GRACIELA</t>
  </si>
  <si>
    <t>ECI SALAMANCA</t>
  </si>
  <si>
    <t>ALISON</t>
  </si>
  <si>
    <t>ECI SAN JOSÉ DE VALDERAS</t>
  </si>
  <si>
    <t>ZEVALLOS</t>
  </si>
  <si>
    <t>ECI BAHÍA MÁLAGA</t>
  </si>
  <si>
    <t>DAVID</t>
  </si>
  <si>
    <t>ECI COSTA MIJAS</t>
  </si>
  <si>
    <t>CARLOS</t>
  </si>
  <si>
    <t>ECI ZARAGOZA ( SAGASTA)</t>
  </si>
  <si>
    <t>ESTELA</t>
  </si>
  <si>
    <t>ECI PAMPLONA</t>
  </si>
  <si>
    <t>ANNE</t>
  </si>
  <si>
    <t>ECI TALAVERA</t>
  </si>
  <si>
    <t>LAURA</t>
  </si>
  <si>
    <t>ECI GUADALAJARA</t>
  </si>
  <si>
    <t xml:space="preserve">DARWIN </t>
  </si>
  <si>
    <t>Lunes</t>
  </si>
  <si>
    <t>Martes</t>
  </si>
  <si>
    <t>Miercoles</t>
  </si>
  <si>
    <t>Jueves</t>
  </si>
  <si>
    <t>Viernes</t>
  </si>
  <si>
    <t>Sabado</t>
  </si>
  <si>
    <t>Domingo</t>
  </si>
  <si>
    <t>total</t>
  </si>
  <si>
    <t>BRYAN</t>
  </si>
  <si>
    <t xml:space="preserve">DARVIN </t>
  </si>
  <si>
    <t>Lunes 03</t>
  </si>
  <si>
    <t>Martes 04</t>
  </si>
  <si>
    <t>Miercoles 05</t>
  </si>
  <si>
    <t>Jueves 06</t>
  </si>
  <si>
    <t>Viernes 07</t>
  </si>
  <si>
    <t>Sabado 08</t>
  </si>
  <si>
    <t>Domingo 09</t>
  </si>
  <si>
    <t>Mesa rota, entró sin demos</t>
  </si>
  <si>
    <t xml:space="preserve">Demos en mesa repetidos x2 magic 7lite y x2 magic PAD 2/ Demo X5C falta </t>
  </si>
  <si>
    <t>Perdida de venta por no tener demo X5C</t>
  </si>
  <si>
    <t>PIERDE VENTAS POR NO TENER STOCK DE MAGICPAD2</t>
  </si>
  <si>
    <t>Vende X5C SIN DEMO</t>
  </si>
  <si>
    <t xml:space="preserve">PANTALLAS MESA APAGADAS </t>
  </si>
  <si>
    <t>Falta stock H400 Pro / Escalerilla apagada / Demo X5C falta</t>
  </si>
  <si>
    <t xml:space="preserve">SIGUE CON LA ESCALERILLA APAGADA </t>
  </si>
  <si>
    <t xml:space="preserve">ALERTA PROTECCIÓN CIVIL </t>
  </si>
  <si>
    <t xml:space="preserve">PIERDE VENTA POR FALTA DE STOCK 400 DESERT GOLD </t>
  </si>
  <si>
    <t>PIERDE VENTA DE X2 V5 POR TENER DEMO</t>
  </si>
  <si>
    <t xml:space="preserve">MESA SIN CORRIENTE/ ALERTA NARANJA </t>
  </si>
  <si>
    <t>HONOR 400 SIN STOCK PIERDE VENTA</t>
  </si>
  <si>
    <t>LIBRA POR TEMAS PERSONALES ANTES DE LA INCORPORACIÓN</t>
  </si>
  <si>
    <t>PIERDE VENTA POR NO TENER STOCK MAGIC 7LITE 256GB/ H400/ FALTA DE DEMOS X5C</t>
  </si>
  <si>
    <t>FALTA DE CONOCIMIENTOS POR PARTE DE ECI SOBRE LA MARCA, NO TIENEN CONFIANZA</t>
  </si>
  <si>
    <t xml:space="preserve">PIERDE VENTA POR FALTA DE STOCK 400 </t>
  </si>
  <si>
    <t>NO ENTRA PORQUE NO ESTA LA TIENDA MONTADA</t>
  </si>
  <si>
    <t xml:space="preserve">ENTRA SIN MESA NI ESCALERILLAS </t>
  </si>
  <si>
    <t>SIN CORRIENTE EN LA MESA</t>
  </si>
  <si>
    <t>W48</t>
  </si>
  <si>
    <t xml:space="preserve">Comentarios </t>
  </si>
  <si>
    <t>Tiene médico a las 12:00, (26/11/25)</t>
  </si>
  <si>
    <t>Ha pedido modificar sus entradas para abarcar una hora antes la venta</t>
  </si>
  <si>
    <t xml:space="preserve">11:00 - 16:00 y 18:00 a 21:00 </t>
  </si>
  <si>
    <t>Tiene examen nacionalidad 16:30 (26/11/25)</t>
  </si>
  <si>
    <t>W49</t>
  </si>
  <si>
    <t>Lunes 1</t>
  </si>
  <si>
    <t>Martes 2</t>
  </si>
  <si>
    <t>Miercoles 3</t>
  </si>
  <si>
    <t>Jueves 4</t>
  </si>
  <si>
    <t>Viernes 5</t>
  </si>
  <si>
    <t>Sabado 6</t>
  </si>
  <si>
    <t>Domingo 7</t>
  </si>
  <si>
    <t xml:space="preserve">día de libranza modificado por libranza de la competencia </t>
  </si>
  <si>
    <t>16:00 -21:00</t>
  </si>
  <si>
    <t>15:30 -21:00</t>
  </si>
  <si>
    <t xml:space="preserve">Al final trabaja el festivo </t>
  </si>
  <si>
    <t>Ha pedido modificación en la libranza por temas personales/ Ha pedido un día de vacaciones por temas personales</t>
  </si>
  <si>
    <t>W50</t>
  </si>
  <si>
    <t>Lunes 8</t>
  </si>
  <si>
    <t>Martes 9</t>
  </si>
  <si>
    <t>Miercoles 10</t>
  </si>
  <si>
    <t>Jueves 11</t>
  </si>
  <si>
    <t>Viernes 12</t>
  </si>
  <si>
    <t>Sabado 13</t>
  </si>
  <si>
    <t>Domingo 14</t>
  </si>
  <si>
    <t>FESTIVO</t>
  </si>
  <si>
    <t xml:space="preserve">Tiene médico a las 11:30 </t>
  </si>
  <si>
    <t xml:space="preserve">Baja médica </t>
  </si>
  <si>
    <t xml:space="preserve">Modificación por libranza de la competencia </t>
  </si>
  <si>
    <t>Entrada 10/12</t>
  </si>
  <si>
    <t>10:30 - 13:30 y 16:30 - 21:30</t>
  </si>
  <si>
    <t>W51</t>
  </si>
  <si>
    <t>Lunes 15</t>
  </si>
  <si>
    <t>Martes 16</t>
  </si>
  <si>
    <t>Miercoles 17</t>
  </si>
  <si>
    <t>Jueves 18</t>
  </si>
  <si>
    <t>Viernes 19</t>
  </si>
  <si>
    <t>Sabado 20</t>
  </si>
  <si>
    <t>Domingo 21</t>
  </si>
  <si>
    <t>13:00 - 15:00 y 16:00 - 22:00</t>
  </si>
  <si>
    <t>CAMBIO DE SA empieza el viernes 19/12</t>
  </si>
  <si>
    <t>ECI nos pide que trabaje el miercoles por el partido del Madrid contra el Talavera</t>
  </si>
  <si>
    <t xml:space="preserve">ENFERMO </t>
  </si>
  <si>
    <t xml:space="preserve">Cambia el día miercoles por el lunes 22, se encuentra indispuesto </t>
  </si>
  <si>
    <t>*Todos las provincias que ABREN</t>
  </si>
  <si>
    <t>W52</t>
  </si>
  <si>
    <t>Lunes 22</t>
  </si>
  <si>
    <t>Martes 23</t>
  </si>
  <si>
    <t>Miercoles 24</t>
  </si>
  <si>
    <t>Jueves 25</t>
  </si>
  <si>
    <t>Viernes 26</t>
  </si>
  <si>
    <t>Sabado 27</t>
  </si>
  <si>
    <t>Domingo 28</t>
  </si>
  <si>
    <t xml:space="preserve">Baja voluntaria </t>
  </si>
  <si>
    <t>Entra  22/12</t>
  </si>
  <si>
    <t>17:00- 21:00</t>
  </si>
  <si>
    <t xml:space="preserve">reposo médico </t>
  </si>
  <si>
    <t>W1</t>
  </si>
  <si>
    <t>Lunes 29</t>
  </si>
  <si>
    <t>Martes 30</t>
  </si>
  <si>
    <t>Miercoles 31</t>
  </si>
  <si>
    <t>Jueves 1</t>
  </si>
  <si>
    <t>Viernes 2</t>
  </si>
  <si>
    <t>Sabado 3</t>
  </si>
  <si>
    <t>Domingo 4</t>
  </si>
  <si>
    <t>8H extra</t>
  </si>
  <si>
    <t xml:space="preserve">8H extra </t>
  </si>
  <si>
    <t>despido</t>
  </si>
  <si>
    <t>W01</t>
  </si>
  <si>
    <t>Jueves 01</t>
  </si>
  <si>
    <t>Viernes 02</t>
  </si>
  <si>
    <t>Sábado 03</t>
  </si>
  <si>
    <t>Domingo 04</t>
  </si>
  <si>
    <t xml:space="preserve">COMENTARIOS </t>
  </si>
  <si>
    <t>8H Extra</t>
  </si>
  <si>
    <t>W02</t>
  </si>
  <si>
    <t>Lunes 05</t>
  </si>
  <si>
    <t>Martes 06</t>
  </si>
  <si>
    <t>Miercoles 07</t>
  </si>
  <si>
    <t>Jueves 08</t>
  </si>
  <si>
    <t>Viernes 09</t>
  </si>
  <si>
    <t>Sábado 10</t>
  </si>
  <si>
    <t>Domingo 11</t>
  </si>
  <si>
    <t>Incorporación 08/01</t>
  </si>
  <si>
    <t>W03</t>
  </si>
  <si>
    <t>Lunes 12</t>
  </si>
  <si>
    <t>Martes 13</t>
  </si>
  <si>
    <t>Miercoles 14</t>
  </si>
  <si>
    <t>Jueves 15</t>
  </si>
  <si>
    <t>Viernes 16</t>
  </si>
  <si>
    <t>Sábado 17</t>
  </si>
  <si>
    <t>Domingo 18</t>
  </si>
  <si>
    <t>BAJA 13/01</t>
  </si>
  <si>
    <t>martes 13/01 entra 2H más tarde</t>
  </si>
  <si>
    <t>BAJA médica 14/01</t>
  </si>
  <si>
    <t>VACACIONES</t>
  </si>
  <si>
    <t xml:space="preserve">BAJA médica 15/01 </t>
  </si>
  <si>
    <t>Miercoles 14/01 recuperación domingo 11/01</t>
  </si>
  <si>
    <t>W04</t>
  </si>
  <si>
    <t>Lunes 19</t>
  </si>
  <si>
    <t>Martes 20</t>
  </si>
  <si>
    <t>Miercoles 21</t>
  </si>
  <si>
    <t>Jueves 22</t>
  </si>
  <si>
    <t>Viernes 23</t>
  </si>
  <si>
    <t>Sábado 24</t>
  </si>
  <si>
    <t>Domingo 25</t>
  </si>
  <si>
    <t>Baja médica</t>
  </si>
  <si>
    <t>Martes 20/01 entra por la tarde por una cirugía</t>
  </si>
  <si>
    <t>W05</t>
  </si>
  <si>
    <t>Lunes 26</t>
  </si>
  <si>
    <t>Martes 27</t>
  </si>
  <si>
    <t>Miercoles 28</t>
  </si>
  <si>
    <t>Jueves 29</t>
  </si>
  <si>
    <t>Viernes 30</t>
  </si>
  <si>
    <t>Sábado 31</t>
  </si>
  <si>
    <t>Domingo 01</t>
  </si>
  <si>
    <t>12:00 - 15:00 y 17:00 - 21:00</t>
  </si>
  <si>
    <t>recupera 7H, 26/01 por el martes 20/01</t>
  </si>
  <si>
    <t xml:space="preserve">festivo día 29/01,  cierra el ECI </t>
  </si>
  <si>
    <t>W06</t>
  </si>
  <si>
    <t xml:space="preserve">Alerta roja en Andalucía </t>
  </si>
  <si>
    <t>Se incorpora 04/02</t>
  </si>
  <si>
    <t xml:space="preserve">robo, entrará más tarde </t>
  </si>
  <si>
    <t>W07</t>
  </si>
  <si>
    <t>Miercoles 11/02/26</t>
  </si>
  <si>
    <t>Modificacion de día libre por formadores</t>
  </si>
  <si>
    <t>Alerta roja</t>
  </si>
  <si>
    <t xml:space="preserve">16:00 - 21:00 </t>
  </si>
  <si>
    <t>16:00 – 21:00</t>
  </si>
  <si>
    <t>15:00 – 21:00</t>
  </si>
  <si>
    <t>W08</t>
  </si>
  <si>
    <t>Miercoles 18/02/26</t>
  </si>
  <si>
    <t>Recupera el día 04/02</t>
  </si>
  <si>
    <t xml:space="preserve">Enfermo </t>
  </si>
  <si>
    <t>W09</t>
  </si>
  <si>
    <t>Miercoles 25/02/26</t>
  </si>
  <si>
    <t xml:space="preserve">FESTIVO </t>
  </si>
  <si>
    <t>W10</t>
  </si>
  <si>
    <t>13:00 - 16:00 y 17:00 - 22:00</t>
  </si>
  <si>
    <t>FESTIVO (cierre)</t>
  </si>
  <si>
    <t>W11</t>
  </si>
  <si>
    <t>Miercoles 11/03/26</t>
  </si>
  <si>
    <t>Enfermedad</t>
  </si>
  <si>
    <t>Accidente de coche</t>
  </si>
  <si>
    <t>W12</t>
  </si>
  <si>
    <t>Miercoles 18/03/26</t>
  </si>
  <si>
    <t>W13</t>
  </si>
  <si>
    <t>Miercoles 25/03/26</t>
  </si>
  <si>
    <t>W14</t>
  </si>
  <si>
    <t>Miercoles 01/04/26</t>
  </si>
  <si>
    <t>No pasa el periodo de superación de prueba 01/04</t>
  </si>
  <si>
    <t>Recuperación de horas</t>
  </si>
  <si>
    <t>W15</t>
  </si>
  <si>
    <t>Miercoles 08/04/26</t>
  </si>
  <si>
    <t>NO SA</t>
  </si>
  <si>
    <t>W16</t>
  </si>
  <si>
    <t>Miercoles 15/04/26</t>
  </si>
  <si>
    <t>W17</t>
  </si>
  <si>
    <t>Miercoles 22/04/26</t>
  </si>
  <si>
    <t>W18</t>
  </si>
  <si>
    <t>Miercoles 29/04/26</t>
  </si>
  <si>
    <t>Sem.</t>
  </si>
  <si>
    <t>Miércoles</t>
  </si>
  <si>
    <t>Sábado</t>
  </si>
  <si>
    <t>Día de la Constitución</t>
  </si>
  <si>
    <t>Inmaculada Concepción</t>
  </si>
  <si>
    <t>Nochebuena</t>
  </si>
  <si>
    <t>Navidad</t>
  </si>
  <si>
    <t>Nochevieja</t>
  </si>
  <si>
    <t>Año Nuevo</t>
  </si>
  <si>
    <t>Día de Reyes</t>
  </si>
  <si>
    <t>Festivo Talavera</t>
  </si>
  <si>
    <t>festivo en zaragoza</t>
  </si>
  <si>
    <r>
      <rPr>
        <rFont val="Arial, sans-serif"/>
        <b/>
        <color rgb="FFFF0000"/>
        <sz val="8.0"/>
      </rPr>
      <t>OJO!!</t>
    </r>
    <r>
      <rPr>
        <rFont val="Arial, sans-serif"/>
        <b/>
        <color rgb="FF000000"/>
        <sz val="8.0"/>
      </rPr>
      <t xml:space="preserve"> FESTIVO ANDALUCÍA</t>
    </r>
  </si>
  <si>
    <t>W45</t>
  </si>
  <si>
    <t>EUKENE</t>
  </si>
  <si>
    <t>MARISA</t>
  </si>
  <si>
    <t>GUADALUPE</t>
  </si>
  <si>
    <t>ALBERTO</t>
  </si>
  <si>
    <t>MIGUEL</t>
  </si>
  <si>
    <t>DARWIN</t>
  </si>
  <si>
    <t>W46</t>
  </si>
  <si>
    <t>W47</t>
  </si>
  <si>
    <t>Total:</t>
  </si>
  <si>
    <t xml:space="preserve">ECI SAN JOSÉ DE VALDERAS </t>
  </si>
  <si>
    <t>BAJA</t>
  </si>
  <si>
    <t>Rotura de coche</t>
  </si>
  <si>
    <t>10:00 - 14:00 y 19:00 - 21:00</t>
  </si>
  <si>
    <t>Temporal</t>
  </si>
  <si>
    <t>12:00 - 15:00</t>
  </si>
  <si>
    <t>se va al médico por ansiedad</t>
  </si>
  <si>
    <t>Médico con horas justificadas</t>
  </si>
  <si>
    <t xml:space="preserve">Total: </t>
  </si>
  <si>
    <t>Comentarios</t>
  </si>
  <si>
    <t>día de libranza modificado por libranza de la competencia</t>
  </si>
  <si>
    <t>8h a pagar BF</t>
  </si>
  <si>
    <t>Ha pedido modificación en la libranza por temas personales</t>
  </si>
  <si>
    <t>entra miercoles 10/12</t>
  </si>
  <si>
    <t>W53</t>
  </si>
  <si>
    <t>entra miércoles 10/12</t>
  </si>
  <si>
    <t>POSBLE ENTRADA EL 19/12</t>
  </si>
  <si>
    <t>BAJA MEDICA</t>
  </si>
  <si>
    <t>INCORPORACIÓN NUEVO PERFIL 23/12</t>
  </si>
  <si>
    <t xml:space="preserve">Viernes 26 el centro no abre por su festivo local </t>
  </si>
  <si>
    <t>Tienda</t>
  </si>
  <si>
    <t>Aperturas domingo</t>
  </si>
  <si>
    <t>PLUS SÁBADOS</t>
  </si>
  <si>
    <t>ECI CORNELLA</t>
  </si>
  <si>
    <t>Cerrado</t>
  </si>
  <si>
    <t>Octubre horario especial 11:00 - 21:00 / Noviembre cerrado/ menos 30 (10:00-22:00)/ diciembre abierto 14/21/28</t>
  </si>
  <si>
    <t>ECI RONDA CORDOBA</t>
  </si>
  <si>
    <t>ECI ALCALA DE HENARES</t>
  </si>
  <si>
    <t>Abierto</t>
  </si>
  <si>
    <t>ECI LEON</t>
  </si>
  <si>
    <t>Cerrado / menos 26/10 / Diciembre abren, menos el 7</t>
  </si>
  <si>
    <t>ECI SAN JOSE DE VALDERAS</t>
  </si>
  <si>
    <t>abierto</t>
  </si>
  <si>
    <t>ECI BAHIA MALAGA</t>
  </si>
  <si>
    <t>Cerrado / Abre 30/11, Dic abren, menos el 7</t>
  </si>
  <si>
    <t>ECI ZARAGOZA</t>
  </si>
  <si>
    <t xml:space="preserve">Cerrado / abre 21/12 </t>
  </si>
  <si>
    <t xml:space="preserve">PLUS SABADO TARDE  40 €/SABADO </t>
  </si>
  <si>
    <t>TIENDA</t>
  </si>
  <si>
    <t>ACUMULADO 2025</t>
  </si>
  <si>
    <t>22 días</t>
  </si>
  <si>
    <t>3 días / 3,48H</t>
  </si>
  <si>
    <t>ECI SAN JOSE VALDERAS</t>
  </si>
  <si>
    <t>3 días / 4,45 H</t>
  </si>
  <si>
    <t>3 días / 2,52 H</t>
  </si>
  <si>
    <t>ECI LA CORUÑA</t>
  </si>
  <si>
    <t>1 día/ 5,5 H</t>
  </si>
  <si>
    <t>2 día/ 5,7 H</t>
  </si>
  <si>
    <t>3 día/ 4,45 H</t>
  </si>
  <si>
    <t>ECI COSTA LUZ</t>
  </si>
  <si>
    <t>1 día/ 2,61 H</t>
  </si>
  <si>
    <t>ECI RONDA DE CORDOBA</t>
  </si>
  <si>
    <t>HORAS EXTRA ( MÁX 80 al año)</t>
  </si>
  <si>
    <t>HORAS EXTRA 12/25</t>
  </si>
  <si>
    <t>HORAS EXTRA 2026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</si>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</sst>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dd dd/mm/yy"/>
    <numFmt numFmtId="166" formatCode="mmmm yyyy"/>
  </numFmts>
  <fonts count="39">
    <font>
      <sz val="11.0"/>
      <color theme="1"/>
      <name val="Calibri"/>
      <scheme val="minor"/>
    </font>
    <font>
      <color theme="1"/>
      <name val="Calibri"/>
      <scheme val="minor"/>
    </font>
    <font>
      <sz val="8.0"/>
      <color theme="1"/>
      <name val="Verdana"/>
    </font>
    <font>
      <sz val="11.0"/>
      <color theme="1"/>
      <name val="Calibri"/>
    </font>
    <font/>
    <font>
      <b/>
      <sz val="8.0"/>
      <color theme="1"/>
      <name val="Verdana"/>
    </font>
    <font>
      <sz val="11.0"/>
      <color rgb="FF000000"/>
      <name val="Calibri"/>
    </font>
    <font>
      <sz val="10.0"/>
      <color theme="1"/>
      <name val="Calibri"/>
    </font>
    <font>
      <sz val="8.0"/>
      <color rgb="FF000000"/>
      <name val="Verdana"/>
    </font>
    <font>
      <sz val="11.0"/>
      <color theme="1"/>
      <name val="Aptos"/>
    </font>
    <font>
      <b/>
      <color theme="1"/>
      <name val="Calibri"/>
      <scheme val="minor"/>
    </font>
    <font>
      <sz val="10.0"/>
      <color theme="1"/>
      <name val="Verdana"/>
    </font>
    <font>
      <color rgb="FF000000"/>
      <name val="Verdana"/>
    </font>
    <font>
      <b/>
      <sz val="8.0"/>
      <color rgb="FF000000"/>
      <name val="Verdana"/>
    </font>
    <font>
      <sz val="8.0"/>
      <color rgb="FF006100"/>
      <name val="Verdana"/>
    </font>
    <font>
      <b/>
      <sz val="34.0"/>
      <color theme="1"/>
      <name val="Arial"/>
    </font>
    <font>
      <b/>
      <sz val="36.0"/>
      <color theme="1"/>
      <name val="Arial"/>
    </font>
    <font>
      <u/>
      <color rgb="FF0000FF"/>
      <name val="Arial"/>
    </font>
    <font>
      <color theme="1"/>
      <name val="Arial"/>
    </font>
    <font>
      <sz val="9.0"/>
      <color theme="1"/>
      <name val="Arial"/>
    </font>
    <font>
      <b/>
      <sz val="18.0"/>
      <color theme="1"/>
      <name val="Arial"/>
    </font>
    <font>
      <b/>
      <sz val="18.0"/>
      <color rgb="FF0000CC"/>
      <name val="Arial"/>
    </font>
    <font>
      <b/>
      <sz val="18.0"/>
      <color rgb="FFCC0000"/>
      <name val="Arial"/>
    </font>
    <font>
      <sz val="11.0"/>
      <color theme="1"/>
      <name val="Arial"/>
    </font>
    <font>
      <b/>
      <sz val="24.0"/>
      <color theme="1"/>
      <name val="Arial"/>
    </font>
    <font>
      <sz val="11.0"/>
      <color rgb="FF000000"/>
      <name val="Arial"/>
    </font>
    <font>
      <b/>
      <sz val="24.0"/>
      <color rgb="FFCC0000"/>
      <name val="Arial"/>
    </font>
    <font>
      <b/>
      <sz val="11.0"/>
      <color rgb="FFCC0000"/>
      <name val="Arial"/>
    </font>
    <font>
      <sz val="45.0"/>
      <color rgb="FF000000"/>
      <name val="Arial"/>
    </font>
    <font>
      <b/>
      <sz val="24.0"/>
      <color rgb="FF0000CC"/>
      <name val="Arial"/>
    </font>
    <font>
      <b/>
      <sz val="24.0"/>
      <color rgb="FF969696"/>
      <name val="Arial"/>
    </font>
    <font>
      <b/>
      <u/>
      <sz val="24.0"/>
      <color rgb="FF0000FF"/>
      <name val="Arial"/>
    </font>
    <font>
      <u/>
      <sz val="11.0"/>
      <color rgb="FF0563C1"/>
      <name val="Calibri"/>
    </font>
    <font>
      <b/>
      <sz val="8.0"/>
      <color rgb="FF000000"/>
      <name val="Arial"/>
    </font>
    <font>
      <b/>
      <sz val="11.0"/>
      <color rgb="FF000000"/>
      <name val="Calibri"/>
    </font>
    <font>
      <b/>
      <sz val="11.0"/>
      <color theme="1"/>
      <name val="Calibri"/>
    </font>
    <font>
      <sz val="9.0"/>
      <color theme="1"/>
      <name val="Calibri"/>
    </font>
    <font>
      <b/>
      <sz val="12.0"/>
      <color rgb="FF000000"/>
      <name val="Calibri"/>
    </font>
    <font>
      <color rgb="FF000000"/>
      <name val="Calibri"/>
    </font>
  </fonts>
  <fills count="35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E2EFDA"/>
        <bgColor rgb="FFE2EFDA"/>
      </patternFill>
    </fill>
    <fill>
      <patternFill patternType="solid">
        <fgColor rgb="FFA6A6A6"/>
        <bgColor rgb="FFA6A6A6"/>
      </patternFill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63BE7B"/>
        <bgColor rgb="FF63BE7B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F8696B"/>
        <bgColor rgb="FFF8696B"/>
      </patternFill>
    </fill>
    <fill>
      <patternFill patternType="solid">
        <fgColor rgb="FFC6EFCE"/>
        <bgColor rgb="FFC6EFCE"/>
      </patternFill>
    </fill>
    <fill>
      <patternFill patternType="solid">
        <fgColor rgb="FF9BC2E6"/>
        <bgColor rgb="FF9BC2E6"/>
      </patternFill>
    </fill>
    <fill>
      <patternFill patternType="solid">
        <fgColor rgb="FFFFD9D9"/>
        <bgColor rgb="FFFFD9D9"/>
      </patternFill>
    </fill>
    <fill>
      <patternFill patternType="solid">
        <fgColor rgb="FFE6B8AF"/>
        <bgColor rgb="FFE6B8AF"/>
      </patternFill>
    </fill>
    <fill>
      <patternFill patternType="solid">
        <fgColor rgb="FFC00000"/>
        <bgColor rgb="FFC00000"/>
      </patternFill>
    </fill>
    <fill>
      <patternFill patternType="solid">
        <fgColor rgb="FFFFE699"/>
        <bgColor rgb="FFFFE699"/>
      </patternFill>
    </fill>
    <fill>
      <patternFill patternType="solid">
        <fgColor rgb="FFD9D9D9"/>
        <bgColor rgb="FFD9D9D9"/>
      </patternFill>
    </fill>
    <fill>
      <patternFill patternType="solid">
        <fgColor rgb="FFF7CAAC"/>
        <bgColor rgb="FFF7CAAC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thick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2" fontId="3" numFmtId="0" xfId="0" applyBorder="1" applyFill="1" applyFont="1"/>
    <xf borderId="4" fillId="3" fontId="3" numFmtId="0" xfId="0" applyAlignment="1" applyBorder="1" applyFill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7" fillId="3" fontId="3" numFmtId="0" xfId="0" applyAlignment="1" applyBorder="1" applyFont="1">
      <alignment horizontal="center"/>
    </xf>
    <xf borderId="8" fillId="0" fontId="4" numFmtId="0" xfId="0" applyBorder="1" applyFont="1"/>
    <xf borderId="1" fillId="4" fontId="5" numFmtId="0" xfId="0" applyAlignment="1" applyBorder="1" applyFill="1" applyFont="1">
      <alignment horizontal="center" vertical="center"/>
    </xf>
    <xf borderId="9" fillId="4" fontId="5" numFmtId="0" xfId="0" applyAlignment="1" applyBorder="1" applyFont="1">
      <alignment horizontal="center" vertical="center"/>
    </xf>
    <xf borderId="10" fillId="4" fontId="5" numFmtId="0" xfId="0" applyAlignment="1" applyBorder="1" applyFont="1">
      <alignment horizontal="center" vertical="center"/>
    </xf>
    <xf borderId="11" fillId="5" fontId="3" numFmtId="164" xfId="0" applyBorder="1" applyFill="1" applyFont="1" applyNumberFormat="1"/>
    <xf borderId="12" fillId="5" fontId="3" numFmtId="164" xfId="0" applyBorder="1" applyFont="1" applyNumberFormat="1"/>
    <xf borderId="13" fillId="5" fontId="3" numFmtId="164" xfId="0" applyBorder="1" applyFont="1" applyNumberFormat="1"/>
    <xf borderId="14" fillId="5" fontId="3" numFmtId="164" xfId="0" applyBorder="1" applyFont="1" applyNumberFormat="1"/>
    <xf borderId="15" fillId="5" fontId="3" numFmtId="164" xfId="0" applyBorder="1" applyFont="1" applyNumberFormat="1"/>
    <xf borderId="16" fillId="5" fontId="3" numFmtId="164" xfId="0" applyBorder="1" applyFont="1" applyNumberFormat="1"/>
    <xf borderId="17" fillId="0" fontId="6" numFmtId="0" xfId="0" applyBorder="1" applyFont="1"/>
    <xf borderId="1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21" fillId="0" fontId="7" numFmtId="0" xfId="0" applyAlignment="1" applyBorder="1" applyFont="1">
      <alignment horizontal="center"/>
    </xf>
    <xf borderId="22" fillId="0" fontId="7" numFmtId="0" xfId="0" applyAlignment="1" applyBorder="1" applyFont="1">
      <alignment horizontal="center"/>
    </xf>
    <xf borderId="23" fillId="0" fontId="7" numFmtId="0" xfId="0" applyAlignment="1" applyBorder="1" applyFont="1">
      <alignment horizontal="center"/>
    </xf>
    <xf borderId="10" fillId="6" fontId="6" numFmtId="0" xfId="0" applyBorder="1" applyFill="1" applyFont="1"/>
    <xf borderId="24" fillId="7" fontId="2" numFmtId="0" xfId="0" applyAlignment="1" applyBorder="1" applyFill="1" applyFont="1">
      <alignment horizontal="left" vertical="center"/>
    </xf>
    <xf borderId="1" fillId="6" fontId="6" numFmtId="0" xfId="0" applyBorder="1" applyFont="1"/>
    <xf borderId="1" fillId="0" fontId="6" numFmtId="0" xfId="0" applyBorder="1" applyFont="1"/>
    <xf borderId="1" fillId="0" fontId="2" numFmtId="0" xfId="0" applyAlignment="1" applyBorder="1" applyFont="1">
      <alignment horizontal="left" vertical="center"/>
    </xf>
    <xf borderId="1" fillId="6" fontId="2" numFmtId="0" xfId="0" applyAlignment="1" applyBorder="1" applyFont="1">
      <alignment horizontal="left" vertical="center"/>
    </xf>
    <xf borderId="25" fillId="0" fontId="2" numFmtId="0" xfId="0" applyAlignment="1" applyBorder="1" applyFont="1">
      <alignment horizontal="left" vertical="center"/>
    </xf>
    <xf borderId="25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vertical="center"/>
    </xf>
    <xf borderId="26" fillId="0" fontId="2" numFmtId="0" xfId="0" applyAlignment="1" applyBorder="1" applyFont="1">
      <alignment horizontal="center" vertical="center"/>
    </xf>
    <xf borderId="27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left" vertical="center"/>
    </xf>
    <xf borderId="28" fillId="0" fontId="7" numFmtId="0" xfId="0" applyAlignment="1" applyBorder="1" applyFont="1">
      <alignment horizontal="center"/>
    </xf>
    <xf borderId="29" fillId="0" fontId="7" numFmtId="0" xfId="0" applyAlignment="1" applyBorder="1" applyFont="1">
      <alignment horizontal="center"/>
    </xf>
    <xf borderId="30" fillId="0" fontId="7" numFmtId="0" xfId="0" applyAlignment="1" applyBorder="1" applyFont="1">
      <alignment horizontal="center"/>
    </xf>
    <xf borderId="31" fillId="0" fontId="7" numFmtId="0" xfId="0" applyAlignment="1" applyBorder="1" applyFont="1">
      <alignment horizontal="center"/>
    </xf>
    <xf borderId="24" fillId="4" fontId="5" numFmtId="0" xfId="0" applyAlignment="1" applyBorder="1" applyFont="1">
      <alignment horizontal="center" vertical="center"/>
    </xf>
    <xf borderId="32" fillId="8" fontId="2" numFmtId="0" xfId="0" applyAlignment="1" applyBorder="1" applyFill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1" fillId="8" fontId="2" numFmtId="0" xfId="0" applyAlignment="1" applyBorder="1" applyFont="1">
      <alignment horizontal="center" shrinkToFit="0" vertical="center" wrapText="1"/>
    </xf>
    <xf borderId="10" fillId="9" fontId="6" numFmtId="0" xfId="0" applyBorder="1" applyFill="1" applyFont="1"/>
    <xf borderId="1" fillId="8" fontId="8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3" fillId="10" fontId="3" numFmtId="0" xfId="0" applyBorder="1" applyFill="1" applyFont="1"/>
    <xf borderId="0" fillId="0" fontId="3" numFmtId="0" xfId="0" applyFont="1"/>
    <xf borderId="1" fillId="8" fontId="10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vertical="center"/>
    </xf>
    <xf borderId="1" fillId="11" fontId="2" numFmtId="0" xfId="0" applyAlignment="1" applyBorder="1" applyFill="1" applyFont="1">
      <alignment horizontal="center" shrinkToFit="0" vertical="center" wrapText="1"/>
    </xf>
    <xf borderId="3" fillId="10" fontId="6" numFmtId="0" xfId="0" applyBorder="1" applyFont="1"/>
    <xf borderId="0" fillId="0" fontId="11" numFmtId="0" xfId="0" applyAlignment="1" applyFont="1">
      <alignment horizontal="center" shrinkToFit="0" vertical="center" wrapText="1"/>
    </xf>
    <xf borderId="32" fillId="7" fontId="2" numFmtId="0" xfId="0" applyAlignment="1" applyBorder="1" applyFont="1">
      <alignment horizontal="center" shrinkToFit="0" vertical="center" wrapText="1"/>
    </xf>
    <xf borderId="18" fillId="7" fontId="2" numFmtId="0" xfId="0" applyAlignment="1" applyBorder="1" applyFont="1">
      <alignment horizontal="center" readingOrder="0" vertical="center"/>
    </xf>
    <xf borderId="1" fillId="7" fontId="2" numFmtId="0" xfId="0" applyAlignment="1" applyBorder="1" applyFont="1">
      <alignment horizontal="center" shrinkToFit="0" vertical="center" wrapText="1"/>
    </xf>
    <xf borderId="1" fillId="7" fontId="2" numFmtId="0" xfId="0" applyAlignment="1" applyBorder="1" applyFont="1">
      <alignment horizontal="center" readingOrder="0" vertical="center"/>
    </xf>
    <xf borderId="10" fillId="7" fontId="6" numFmtId="0" xfId="0" applyBorder="1" applyFont="1"/>
    <xf borderId="18" fillId="7" fontId="2" numFmtId="0" xfId="0" applyAlignment="1" applyBorder="1" applyFont="1">
      <alignment horizontal="center" shrinkToFit="0" vertical="center" wrapText="1"/>
    </xf>
    <xf borderId="1" fillId="7" fontId="2" numFmtId="0" xfId="0" applyAlignment="1" applyBorder="1" applyFont="1">
      <alignment horizontal="center" vertical="center"/>
    </xf>
    <xf borderId="18" fillId="7" fontId="2" numFmtId="0" xfId="0" applyAlignment="1" applyBorder="1" applyFont="1">
      <alignment horizontal="center" vertical="center"/>
    </xf>
    <xf borderId="1" fillId="7" fontId="1" numFmtId="0" xfId="0" applyBorder="1" applyFont="1"/>
    <xf borderId="1" fillId="0" fontId="1" numFmtId="0" xfId="0" applyAlignment="1" applyBorder="1" applyFont="1">
      <alignment readingOrder="0"/>
    </xf>
    <xf borderId="17" fillId="7" fontId="6" numFmtId="0" xfId="0" applyBorder="1" applyFont="1"/>
    <xf borderId="18" fillId="0" fontId="2" numFmtId="0" xfId="0" applyAlignment="1" applyBorder="1" applyFont="1">
      <alignment horizontal="center" readingOrder="0" shrinkToFit="0" vertical="center" wrapText="1"/>
    </xf>
    <xf borderId="33" fillId="0" fontId="8" numFmtId="0" xfId="0" applyAlignment="1" applyBorder="1" applyFont="1">
      <alignment horizontal="center" readingOrder="0"/>
    </xf>
    <xf borderId="33" fillId="8" fontId="8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33" fillId="7" fontId="8" numFmtId="0" xfId="0" applyAlignment="1" applyBorder="1" applyFont="1">
      <alignment horizontal="center" readingOrder="0"/>
    </xf>
    <xf borderId="33" fillId="12" fontId="8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12" fontId="2" numFmtId="0" xfId="0" applyAlignment="1" applyBorder="1" applyFont="1">
      <alignment horizontal="center" shrinkToFit="0" vertical="center" wrapText="1"/>
    </xf>
    <xf borderId="1" fillId="12" fontId="2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1" fillId="0" fontId="8" numFmtId="0" xfId="0" applyAlignment="1" applyBorder="1" applyFont="1">
      <alignment horizontal="center" readingOrder="0"/>
    </xf>
    <xf borderId="17" fillId="0" fontId="8" numFmtId="0" xfId="0" applyAlignment="1" applyBorder="1" applyFont="1">
      <alignment horizontal="center" readingOrder="0"/>
    </xf>
    <xf borderId="17" fillId="8" fontId="8" numFmtId="0" xfId="0" applyAlignment="1" applyBorder="1" applyFont="1">
      <alignment horizontal="center" readingOrder="0"/>
    </xf>
    <xf borderId="18" fillId="0" fontId="8" numFmtId="0" xfId="0" applyAlignment="1" applyBorder="1" applyFont="1">
      <alignment horizontal="center" readingOrder="0"/>
    </xf>
    <xf borderId="18" fillId="13" fontId="8" numFmtId="0" xfId="0" applyAlignment="1" applyBorder="1" applyFill="1" applyFont="1">
      <alignment horizontal="center" readingOrder="0" vertical="bottom"/>
    </xf>
    <xf borderId="33" fillId="13" fontId="8" numFmtId="0" xfId="0" applyAlignment="1" applyBorder="1" applyFont="1">
      <alignment horizontal="center" readingOrder="0"/>
    </xf>
    <xf borderId="33" fillId="0" fontId="8" numFmtId="0" xfId="0" applyAlignment="1" applyBorder="1" applyFont="1">
      <alignment horizontal="center" readingOrder="0" vertical="bottom"/>
    </xf>
    <xf borderId="18" fillId="0" fontId="8" numFmtId="0" xfId="0" applyAlignment="1" applyBorder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/>
    </xf>
    <xf borderId="0" fillId="14" fontId="6" numFmtId="0" xfId="0" applyAlignment="1" applyFill="1" applyFont="1">
      <alignment readingOrder="0" shrinkToFit="0" vertical="bottom" wrapText="0"/>
    </xf>
    <xf borderId="0" fillId="0" fontId="12" numFmtId="0" xfId="0" applyAlignment="1" applyFont="1">
      <alignment horizontal="center"/>
    </xf>
    <xf borderId="0" fillId="0" fontId="6" numFmtId="0" xfId="0" applyAlignment="1" applyFont="1">
      <alignment shrinkToFit="0" vertical="bottom" wrapText="0"/>
    </xf>
    <xf borderId="1" fillId="15" fontId="13" numFmtId="0" xfId="0" applyAlignment="1" applyBorder="1" applyFill="1" applyFont="1">
      <alignment horizontal="center" readingOrder="0" shrinkToFit="0" wrapText="0"/>
    </xf>
    <xf borderId="20" fillId="15" fontId="13" numFmtId="0" xfId="0" applyAlignment="1" applyBorder="1" applyFont="1">
      <alignment horizontal="center" shrinkToFit="0" wrapText="0"/>
    </xf>
    <xf borderId="1" fillId="15" fontId="13" numFmtId="0" xfId="0" applyAlignment="1" applyBorder="1" applyFont="1">
      <alignment horizontal="center" shrinkToFit="0" wrapText="0"/>
    </xf>
    <xf borderId="33" fillId="0" fontId="6" numFmtId="0" xfId="0" applyAlignment="1" applyBorder="1" applyFont="1">
      <alignment readingOrder="0" shrinkToFit="0" vertical="bottom" wrapText="0"/>
    </xf>
    <xf borderId="17" fillId="0" fontId="8" numFmtId="0" xfId="0" applyAlignment="1" applyBorder="1" applyFont="1">
      <alignment horizontal="center" readingOrder="0" vertical="bottom"/>
    </xf>
    <xf borderId="33" fillId="0" fontId="2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vertical="bottom" wrapText="0"/>
    </xf>
    <xf borderId="18" fillId="7" fontId="8" numFmtId="0" xfId="0" applyAlignment="1" applyBorder="1" applyFont="1">
      <alignment horizontal="center" readingOrder="0" vertical="bottom"/>
    </xf>
    <xf borderId="33" fillId="7" fontId="8" numFmtId="0" xfId="0" applyAlignment="1" applyBorder="1" applyFont="1">
      <alignment horizontal="center" readingOrder="0" vertical="bottom"/>
    </xf>
    <xf borderId="33" fillId="8" fontId="8" numFmtId="0" xfId="0" applyAlignment="1" applyBorder="1" applyFont="1">
      <alignment horizontal="center" readingOrder="0" vertical="bottom"/>
    </xf>
    <xf borderId="33" fillId="16" fontId="6" numFmtId="0" xfId="0" applyAlignment="1" applyBorder="1" applyFill="1" applyFont="1">
      <alignment readingOrder="0" shrinkToFit="0" vertical="bottom" wrapText="0"/>
    </xf>
    <xf borderId="33" fillId="7" fontId="2" numFmtId="0" xfId="0" applyAlignment="1" applyBorder="1" applyFont="1">
      <alignment horizontal="center" readingOrder="0" shrinkToFit="0" wrapText="0"/>
    </xf>
    <xf borderId="34" fillId="17" fontId="6" numFmtId="0" xfId="0" applyAlignment="1" applyBorder="1" applyFill="1" applyFont="1">
      <alignment readingOrder="0" vertical="bottom"/>
    </xf>
    <xf borderId="18" fillId="4" fontId="13" numFmtId="0" xfId="0" applyAlignment="1" applyBorder="1" applyFont="1">
      <alignment horizontal="center" readingOrder="0"/>
    </xf>
    <xf borderId="33" fillId="4" fontId="13" numFmtId="0" xfId="0" applyAlignment="1" applyBorder="1" applyFont="1">
      <alignment horizontal="center" readingOrder="0"/>
    </xf>
    <xf borderId="33" fillId="4" fontId="6" numFmtId="0" xfId="0" applyBorder="1" applyFont="1"/>
    <xf borderId="1" fillId="8" fontId="1" numFmtId="0" xfId="0" applyAlignment="1" applyBorder="1" applyFont="1">
      <alignment readingOrder="0"/>
    </xf>
    <xf borderId="33" fillId="0" fontId="6" numFmtId="0" xfId="0" applyAlignment="1" applyBorder="1" applyFont="1">
      <alignment readingOrder="0" vertical="bottom"/>
    </xf>
    <xf borderId="33" fillId="16" fontId="8" numFmtId="0" xfId="0" applyAlignment="1" applyBorder="1" applyFont="1">
      <alignment horizontal="center" readingOrder="0" vertical="bottom"/>
    </xf>
    <xf borderId="33" fillId="18" fontId="8" numFmtId="0" xfId="0" applyAlignment="1" applyBorder="1" applyFill="1" applyFont="1">
      <alignment horizontal="center" readingOrder="0"/>
    </xf>
    <xf borderId="18" fillId="0" fontId="6" numFmtId="0" xfId="0" applyAlignment="1" applyBorder="1" applyFont="1">
      <alignment readingOrder="0" vertical="bottom"/>
    </xf>
    <xf borderId="33" fillId="9" fontId="6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shrinkToFit="0" wrapText="0"/>
    </xf>
    <xf borderId="1" fillId="8" fontId="2" numFmtId="0" xfId="0" applyAlignment="1" applyBorder="1" applyFont="1">
      <alignment horizontal="center" readingOrder="0"/>
    </xf>
    <xf borderId="1" fillId="7" fontId="8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/>
    </xf>
    <xf borderId="1" fillId="8" fontId="8" numFmtId="0" xfId="0" applyAlignment="1" applyBorder="1" applyFont="1">
      <alignment horizontal="center" readingOrder="0"/>
    </xf>
    <xf borderId="1" fillId="12" fontId="8" numFmtId="0" xfId="0" applyAlignment="1" applyBorder="1" applyFont="1">
      <alignment horizontal="center" readingOrder="0"/>
    </xf>
    <xf borderId="1" fillId="12" fontId="2" numFmtId="0" xfId="0" applyAlignment="1" applyBorder="1" applyFont="1">
      <alignment horizontal="center" readingOrder="0" shrinkToFit="0" wrapText="0"/>
    </xf>
    <xf borderId="1" fillId="19" fontId="8" numFmtId="0" xfId="0" applyAlignment="1" applyBorder="1" applyFill="1" applyFont="1">
      <alignment horizontal="center" readingOrder="0"/>
    </xf>
    <xf borderId="1" fillId="19" fontId="2" numFmtId="0" xfId="0" applyAlignment="1" applyBorder="1" applyFont="1">
      <alignment horizontal="center" readingOrder="0" shrinkToFit="0" wrapText="0"/>
    </xf>
    <xf borderId="1" fillId="6" fontId="8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 readingOrder="0" shrinkToFit="0" wrapText="0"/>
    </xf>
    <xf borderId="1" fillId="20" fontId="2" numFmtId="0" xfId="0" applyAlignment="1" applyBorder="1" applyFill="1" applyFont="1">
      <alignment horizontal="center" readingOrder="0"/>
    </xf>
    <xf borderId="1" fillId="20" fontId="2" numFmtId="0" xfId="0" applyAlignment="1" applyBorder="1" applyFont="1">
      <alignment horizontal="center" readingOrder="0" shrinkToFit="0" wrapText="0"/>
    </xf>
    <xf borderId="1" fillId="20" fontId="8" numFmtId="0" xfId="0" applyAlignment="1" applyBorder="1" applyFont="1">
      <alignment horizontal="center" readingOrder="0"/>
    </xf>
    <xf borderId="34" fillId="4" fontId="13" numFmtId="0" xfId="0" applyAlignment="1" applyBorder="1" applyFont="1">
      <alignment horizontal="center" readingOrder="0"/>
    </xf>
    <xf borderId="34" fillId="4" fontId="6" numFmtId="0" xfId="0" applyBorder="1" applyFont="1"/>
    <xf borderId="35" fillId="0" fontId="6" numFmtId="0" xfId="0" applyAlignment="1" applyBorder="1" applyFont="1">
      <alignment readingOrder="0" vertical="bottom"/>
    </xf>
    <xf borderId="36" fillId="0" fontId="6" numFmtId="0" xfId="0" applyAlignment="1" applyBorder="1" applyFont="1">
      <alignment readingOrder="0" vertical="bottom"/>
    </xf>
    <xf borderId="35" fillId="9" fontId="6" numFmtId="0" xfId="0" applyAlignment="1" applyBorder="1" applyFont="1">
      <alignment readingOrder="0" vertical="bottom"/>
    </xf>
    <xf borderId="1" fillId="16" fontId="8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 readingOrder="0"/>
    </xf>
    <xf borderId="33" fillId="4" fontId="13" numFmtId="165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 readingOrder="0" vertical="bottom"/>
    </xf>
    <xf borderId="33" fillId="20" fontId="8" numFmtId="0" xfId="0" applyAlignment="1" applyBorder="1" applyFont="1">
      <alignment horizontal="center" readingOrder="0" vertical="bottom"/>
    </xf>
    <xf borderId="33" fillId="20" fontId="6" numFmtId="0" xfId="0" applyAlignment="1" applyBorder="1" applyFont="1">
      <alignment readingOrder="0" vertical="bottom"/>
    </xf>
    <xf borderId="33" fillId="11" fontId="8" numFmtId="0" xfId="0" applyAlignment="1" applyBorder="1" applyFont="1">
      <alignment horizontal="center" readingOrder="0" vertical="bottom"/>
    </xf>
    <xf borderId="33" fillId="21" fontId="8" numFmtId="0" xfId="0" applyAlignment="1" applyBorder="1" applyFill="1" applyFont="1">
      <alignment horizontal="center" readingOrder="0" vertical="bottom"/>
    </xf>
    <xf borderId="33" fillId="0" fontId="6" numFmtId="0" xfId="0" applyAlignment="1" applyBorder="1" applyFont="1">
      <alignment horizontal="left" readingOrder="0"/>
    </xf>
    <xf borderId="33" fillId="20" fontId="6" numFmtId="0" xfId="0" applyAlignment="1" applyBorder="1" applyFont="1">
      <alignment vertical="bottom"/>
    </xf>
    <xf borderId="33" fillId="22" fontId="8" numFmtId="0" xfId="0" applyAlignment="1" applyBorder="1" applyFill="1" applyFont="1">
      <alignment horizontal="center" readingOrder="0" vertical="bottom"/>
    </xf>
    <xf borderId="33" fillId="12" fontId="8" numFmtId="0" xfId="0" applyAlignment="1" applyBorder="1" applyFont="1">
      <alignment horizontal="center" readingOrder="0" vertical="bottom"/>
    </xf>
    <xf borderId="33" fillId="23" fontId="8" numFmtId="0" xfId="0" applyAlignment="1" applyBorder="1" applyFill="1" applyFont="1">
      <alignment horizontal="center" readingOrder="0" vertical="bottom"/>
    </xf>
    <xf borderId="34" fillId="4" fontId="13" numFmtId="165" xfId="0" applyAlignment="1" applyBorder="1" applyFont="1" applyNumberFormat="1">
      <alignment horizontal="center" readingOrder="0"/>
    </xf>
    <xf borderId="17" fillId="8" fontId="8" numFmtId="0" xfId="0" applyAlignment="1" applyBorder="1" applyFont="1">
      <alignment horizontal="center" readingOrder="0" vertical="bottom"/>
    </xf>
    <xf borderId="33" fillId="24" fontId="8" numFmtId="0" xfId="0" applyAlignment="1" applyBorder="1" applyFill="1" applyFont="1">
      <alignment horizontal="center" readingOrder="0"/>
    </xf>
    <xf borderId="33" fillId="0" fontId="6" numFmtId="0" xfId="0" applyAlignment="1" applyBorder="1" applyFont="1">
      <alignment readingOrder="0"/>
    </xf>
    <xf borderId="33" fillId="13" fontId="8" numFmtId="0" xfId="0" applyAlignment="1" applyBorder="1" applyFont="1">
      <alignment horizontal="center" readingOrder="0" vertical="bottom"/>
    </xf>
    <xf borderId="17" fillId="16" fontId="8" numFmtId="0" xfId="0" applyAlignment="1" applyBorder="1" applyFont="1">
      <alignment horizontal="center" readingOrder="0" vertical="bottom"/>
    </xf>
    <xf borderId="33" fillId="16" fontId="13" numFmtId="0" xfId="0" applyAlignment="1" applyBorder="1" applyFont="1">
      <alignment horizontal="center" readingOrder="0" vertical="bottom"/>
    </xf>
    <xf borderId="33" fillId="19" fontId="8" numFmtId="0" xfId="0" applyAlignment="1" applyBorder="1" applyFont="1">
      <alignment horizontal="center" readingOrder="0" vertical="bottom"/>
    </xf>
    <xf borderId="33" fillId="16" fontId="8" numFmtId="0" xfId="0" applyAlignment="1" applyBorder="1" applyFont="1">
      <alignment horizontal="center" readingOrder="0"/>
    </xf>
    <xf borderId="2" fillId="4" fontId="13" numFmtId="0" xfId="0" applyAlignment="1" applyBorder="1" applyFont="1">
      <alignment horizontal="center" readingOrder="0"/>
    </xf>
    <xf borderId="1" fillId="19" fontId="6" numFmtId="0" xfId="0" applyAlignment="1" applyBorder="1" applyFont="1">
      <alignment readingOrder="0" vertical="bottom"/>
    </xf>
    <xf borderId="33" fillId="25" fontId="14" numFmtId="0" xfId="0" applyAlignment="1" applyBorder="1" applyFill="1" applyFont="1">
      <alignment horizontal="center" readingOrder="0"/>
    </xf>
    <xf borderId="1" fillId="19" fontId="6" numFmtId="0" xfId="0" applyAlignment="1" applyBorder="1" applyFont="1">
      <alignment readingOrder="0"/>
    </xf>
    <xf borderId="1" fillId="0" fontId="6" numFmtId="0" xfId="0" applyAlignment="1" applyBorder="1" applyFont="1">
      <alignment readingOrder="0" vertical="bottom"/>
    </xf>
    <xf borderId="33" fillId="26" fontId="8" numFmtId="0" xfId="0" applyAlignment="1" applyBorder="1" applyFill="1" applyFont="1">
      <alignment horizontal="center" readingOrder="0" vertical="bottom"/>
    </xf>
    <xf borderId="0" fillId="0" fontId="15" numFmtId="166" xfId="0" applyAlignment="1" applyFont="1" applyNumberFormat="1">
      <alignment horizontal="left" readingOrder="0" shrinkToFit="0" vertical="top" wrapText="0"/>
    </xf>
    <xf borderId="0" fillId="0" fontId="16" numFmtId="0" xfId="0" applyAlignment="1" applyFont="1">
      <alignment horizontal="left" shrinkToFit="0" vertical="top" wrapText="0"/>
    </xf>
    <xf borderId="0" fillId="0" fontId="17" numFmtId="0" xfId="0" applyAlignment="1" applyFont="1">
      <alignment horizontal="right" shrinkToFit="0" vertical="top" wrapText="0"/>
    </xf>
    <xf borderId="0" fillId="0" fontId="18" numFmtId="0" xfId="0" applyAlignment="1" applyFont="1">
      <alignment horizontal="right" shrinkToFit="0" vertical="top" wrapText="0"/>
    </xf>
    <xf borderId="0" fillId="0" fontId="18" numFmtId="0" xfId="0" applyAlignment="1" applyFont="1">
      <alignment shrinkToFit="0" vertical="top" wrapText="0"/>
    </xf>
    <xf borderId="0" fillId="0" fontId="18" numFmtId="0" xfId="0" applyAlignment="1" applyFont="1">
      <alignment shrinkToFit="0" vertical="bottom" wrapText="0"/>
    </xf>
    <xf borderId="1" fillId="0" fontId="19" numFmtId="0" xfId="0" applyAlignment="1" applyBorder="1" applyFont="1">
      <alignment horizontal="center" readingOrder="0" shrinkToFit="0" wrapText="0"/>
    </xf>
    <xf borderId="20" fillId="0" fontId="20" numFmtId="0" xfId="0" applyAlignment="1" applyBorder="1" applyFont="1">
      <alignment horizontal="center" readingOrder="0" shrinkToFit="0" wrapText="0"/>
    </xf>
    <xf borderId="17" fillId="0" fontId="4" numFmtId="0" xfId="0" applyBorder="1" applyFont="1"/>
    <xf borderId="20" fillId="0" fontId="21" numFmtId="0" xfId="0" applyAlignment="1" applyBorder="1" applyFont="1">
      <alignment horizontal="center" readingOrder="0" shrinkToFit="0" wrapText="0"/>
    </xf>
    <xf borderId="20" fillId="0" fontId="22" numFmtId="0" xfId="0" applyAlignment="1" applyBorder="1" applyFont="1">
      <alignment horizontal="center" readingOrder="0" shrinkToFit="0" wrapText="0"/>
    </xf>
    <xf borderId="0" fillId="0" fontId="18" numFmtId="0" xfId="0" applyAlignment="1" applyFont="1">
      <alignment shrinkToFit="0" vertical="bottom" wrapText="0"/>
    </xf>
    <xf borderId="2" fillId="0" fontId="23" numFmtId="0" xfId="0" applyAlignment="1" applyBorder="1" applyFont="1">
      <alignment horizontal="center" readingOrder="0" shrinkToFit="0" wrapText="0"/>
    </xf>
    <xf borderId="1" fillId="0" fontId="24" numFmtId="0" xfId="0" applyAlignment="1" applyBorder="1" applyFont="1">
      <alignment horizontal="center" readingOrder="0" shrinkToFit="0" wrapText="0"/>
    </xf>
    <xf borderId="34" fillId="0" fontId="25" numFmtId="0" xfId="0" applyAlignment="1" applyBorder="1" applyFont="1">
      <alignment horizontal="left"/>
    </xf>
    <xf borderId="1" fillId="27" fontId="26" numFmtId="0" xfId="0" applyAlignment="1" applyBorder="1" applyFill="1" applyFont="1">
      <alignment horizontal="center" readingOrder="0" shrinkToFit="0" wrapText="0"/>
    </xf>
    <xf borderId="34" fillId="0" fontId="27" numFmtId="0" xfId="0" applyAlignment="1" applyBorder="1" applyFont="1">
      <alignment horizontal="left" readingOrder="0"/>
    </xf>
    <xf borderId="1" fillId="0" fontId="26" numFmtId="0" xfId="0" applyAlignment="1" applyBorder="1" applyFont="1">
      <alignment horizontal="center" readingOrder="0" shrinkToFit="0" wrapText="0"/>
    </xf>
    <xf borderId="18" fillId="0" fontId="4" numFmtId="0" xfId="0" applyBorder="1" applyFont="1"/>
    <xf borderId="20" fillId="0" fontId="28" numFmtId="0" xfId="0" applyAlignment="1" applyBorder="1" applyFont="1">
      <alignment horizontal="center" readingOrder="0" vertical="top"/>
    </xf>
    <xf borderId="1" fillId="0" fontId="29" numFmtId="0" xfId="0" applyAlignment="1" applyBorder="1" applyFont="1">
      <alignment horizontal="center" readingOrder="0" shrinkToFit="0" wrapText="0"/>
    </xf>
    <xf borderId="20" fillId="0" fontId="28" numFmtId="0" xfId="0" applyAlignment="1" applyBorder="1" applyFont="1">
      <alignment horizontal="left" readingOrder="0" vertical="top"/>
    </xf>
    <xf borderId="34" fillId="0" fontId="25" numFmtId="0" xfId="0" applyAlignment="1" applyBorder="1" applyFont="1">
      <alignment horizontal="left" readingOrder="0"/>
    </xf>
    <xf borderId="20" fillId="28" fontId="28" numFmtId="0" xfId="0" applyAlignment="1" applyBorder="1" applyFill="1" applyFont="1">
      <alignment horizontal="left" vertical="top"/>
    </xf>
    <xf borderId="1" fillId="0" fontId="30" numFmtId="0" xfId="0" applyAlignment="1" applyBorder="1" applyFont="1">
      <alignment horizontal="center" readingOrder="0" shrinkToFit="0" wrapText="0"/>
    </xf>
    <xf borderId="20" fillId="28" fontId="28" numFmtId="0" xfId="0" applyAlignment="1" applyBorder="1" applyFont="1">
      <alignment horizontal="left" readingOrder="0" vertical="top"/>
    </xf>
    <xf borderId="20" fillId="19" fontId="28" numFmtId="0" xfId="0" applyAlignment="1" applyBorder="1" applyFont="1">
      <alignment horizontal="left" readingOrder="0" vertical="top"/>
    </xf>
    <xf borderId="1" fillId="0" fontId="31" numFmtId="0" xfId="0" applyAlignment="1" applyBorder="1" applyFont="1">
      <alignment horizontal="center" readingOrder="0" shrinkToFit="0" wrapText="0"/>
    </xf>
    <xf borderId="0" fillId="0" fontId="32" numFmtId="0" xfId="0" applyAlignment="1" applyFont="1">
      <alignment horizontal="right" shrinkToFit="0" vertical="top" wrapText="0"/>
    </xf>
    <xf borderId="0" fillId="0" fontId="6" numFmtId="0" xfId="0" applyAlignment="1" applyFont="1">
      <alignment horizontal="right" shrinkToFit="0" vertical="top" wrapText="0"/>
    </xf>
    <xf borderId="20" fillId="0" fontId="25" numFmtId="0" xfId="0" applyAlignment="1" applyBorder="1" applyFont="1">
      <alignment horizontal="left" vertical="top"/>
    </xf>
    <xf borderId="34" fillId="26" fontId="33" numFmtId="0" xfId="0" applyAlignment="1" applyBorder="1" applyFont="1">
      <alignment horizontal="center" readingOrder="0" vertical="center"/>
    </xf>
    <xf borderId="20" fillId="15" fontId="13" numFmtId="0" xfId="0" applyAlignment="1" applyBorder="1" applyFont="1">
      <alignment horizontal="center" readingOrder="0" shrinkToFit="0" wrapText="0"/>
    </xf>
    <xf borderId="17" fillId="15" fontId="13" numFmtId="0" xfId="0" applyAlignment="1" applyBorder="1" applyFont="1">
      <alignment horizontal="center" readingOrder="0" shrinkToFit="0" wrapText="0"/>
    </xf>
    <xf borderId="20" fillId="15" fontId="13" numFmtId="0" xfId="0" applyAlignment="1" applyBorder="1" applyFont="1">
      <alignment horizontal="center" shrinkToFit="0" wrapText="0"/>
    </xf>
    <xf borderId="1" fillId="15" fontId="13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shrinkToFit="0" wrapText="0"/>
    </xf>
    <xf borderId="33" fillId="0" fontId="2" numFmtId="0" xfId="0" applyAlignment="1" applyBorder="1" applyFont="1">
      <alignment horizontal="center"/>
    </xf>
    <xf borderId="33" fillId="8" fontId="2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34" fillId="0" fontId="2" numFmtId="0" xfId="0" applyAlignment="1" applyBorder="1" applyFont="1">
      <alignment horizontal="center" readingOrder="0" shrinkToFit="0" wrapText="0"/>
    </xf>
    <xf borderId="33" fillId="0" fontId="8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6" numFmtId="0" xfId="0" applyAlignment="1" applyFont="1">
      <alignment readingOrder="0" shrinkToFit="0" vertical="bottom" wrapText="0"/>
    </xf>
    <xf borderId="0" fillId="8" fontId="1" numFmtId="0" xfId="0" applyAlignment="1" applyFont="1">
      <alignment readingOrder="0"/>
    </xf>
    <xf borderId="0" fillId="8" fontId="1" numFmtId="0" xfId="0" applyFont="1"/>
    <xf borderId="1" fillId="29" fontId="2" numFmtId="0" xfId="0" applyAlignment="1" applyBorder="1" applyFill="1" applyFont="1">
      <alignment horizontal="center" readingOrder="0" shrinkToFit="0" wrapText="0"/>
    </xf>
    <xf borderId="0" fillId="0" fontId="6" numFmtId="0" xfId="0" applyAlignment="1" applyFont="1">
      <alignment readingOrder="0" vertical="bottom"/>
    </xf>
    <xf borderId="35" fillId="10" fontId="6" numFmtId="0" xfId="0" applyAlignment="1" applyBorder="1" applyFont="1">
      <alignment readingOrder="0" vertical="bottom"/>
    </xf>
    <xf borderId="35" fillId="0" fontId="6" numFmtId="0" xfId="0" applyBorder="1" applyFont="1"/>
    <xf borderId="35" fillId="0" fontId="6" numFmtId="0" xfId="0" applyAlignment="1" applyBorder="1" applyFont="1">
      <alignment vertical="bottom"/>
    </xf>
    <xf borderId="33" fillId="8" fontId="34" numFmtId="0" xfId="0" applyAlignment="1" applyBorder="1" applyFont="1">
      <alignment readingOrder="0" vertical="bottom"/>
    </xf>
    <xf borderId="33" fillId="0" fontId="6" numFmtId="0" xfId="0" applyBorder="1" applyFont="1"/>
    <xf borderId="33" fillId="0" fontId="6" numFmtId="0" xfId="0" applyAlignment="1" applyBorder="1" applyFont="1">
      <alignment vertical="bottom"/>
    </xf>
    <xf borderId="33" fillId="30" fontId="6" numFmtId="0" xfId="0" applyAlignment="1" applyBorder="1" applyFill="1" applyFont="1">
      <alignment readingOrder="0" vertical="bottom"/>
    </xf>
    <xf borderId="33" fillId="8" fontId="6" numFmtId="0" xfId="0" applyBorder="1" applyFont="1"/>
    <xf borderId="33" fillId="11" fontId="8" numFmtId="0" xfId="0" applyAlignment="1" applyBorder="1" applyFont="1">
      <alignment horizontal="center" readingOrder="0"/>
    </xf>
    <xf borderId="35" fillId="0" fontId="6" numFmtId="0" xfId="0" applyAlignment="1" applyBorder="1" applyFont="1">
      <alignment readingOrder="0"/>
    </xf>
    <xf borderId="18" fillId="8" fontId="8" numFmtId="0" xfId="0" applyAlignment="1" applyBorder="1" applyFont="1">
      <alignment horizontal="center" readingOrder="0" vertical="bottom"/>
    </xf>
    <xf borderId="33" fillId="7" fontId="6" numFmtId="0" xfId="0" applyAlignment="1" applyBorder="1" applyFont="1">
      <alignment vertical="bottom"/>
    </xf>
    <xf borderId="33" fillId="0" fontId="6" numFmtId="0" xfId="0" applyAlignment="1" applyBorder="1" applyFont="1">
      <alignment vertical="bottom"/>
    </xf>
    <xf borderId="18" fillId="8" fontId="8" numFmtId="0" xfId="0" applyAlignment="1" applyBorder="1" applyFont="1">
      <alignment horizontal="center" readingOrder="0"/>
    </xf>
    <xf borderId="35" fillId="14" fontId="6" numFmtId="0" xfId="0" applyAlignment="1" applyBorder="1" applyFont="1">
      <alignment readingOrder="0" vertical="bottom"/>
    </xf>
    <xf borderId="18" fillId="15" fontId="13" numFmtId="0" xfId="0" applyAlignment="1" applyBorder="1" applyFont="1">
      <alignment horizontal="center" readingOrder="0" vertical="bottom"/>
    </xf>
    <xf borderId="33" fillId="15" fontId="13" numFmtId="0" xfId="0" applyAlignment="1" applyBorder="1" applyFont="1">
      <alignment horizontal="center" readingOrder="0" vertical="bottom"/>
    </xf>
    <xf borderId="33" fillId="15" fontId="6" numFmtId="0" xfId="0" applyAlignment="1" applyBorder="1" applyFont="1">
      <alignment vertical="bottom"/>
    </xf>
    <xf borderId="33" fillId="16" fontId="6" numFmtId="0" xfId="0" applyAlignment="1" applyBorder="1" applyFont="1">
      <alignment readingOrder="0" vertical="bottom"/>
    </xf>
    <xf borderId="33" fillId="13" fontId="6" numFmtId="0" xfId="0" applyAlignment="1" applyBorder="1" applyFont="1">
      <alignment readingOrder="0" vertical="bottom"/>
    </xf>
    <xf borderId="18" fillId="7" fontId="8" numFmtId="0" xfId="0" applyAlignment="1" applyBorder="1" applyFont="1">
      <alignment horizontal="center" readingOrder="0"/>
    </xf>
    <xf borderId="18" fillId="12" fontId="8" numFmtId="0" xfId="0" applyAlignment="1" applyBorder="1" applyFont="1">
      <alignment horizontal="center" readingOrder="0"/>
    </xf>
    <xf borderId="1" fillId="31" fontId="6" numFmtId="0" xfId="0" applyBorder="1" applyFill="1" applyFont="1"/>
    <xf borderId="1" fillId="8" fontId="35" numFmtId="0" xfId="0" applyAlignment="1" applyBorder="1" applyFont="1">
      <alignment horizontal="center"/>
    </xf>
    <xf borderId="1" fillId="32" fontId="35" numFmtId="0" xfId="0" applyAlignment="1" applyBorder="1" applyFill="1" applyFont="1">
      <alignment horizontal="center"/>
    </xf>
    <xf borderId="1" fillId="7" fontId="3" numFmtId="0" xfId="0" applyAlignment="1" applyBorder="1" applyFont="1">
      <alignment horizontal="center"/>
    </xf>
    <xf borderId="1" fillId="0" fontId="3" numFmtId="0" xfId="0" applyBorder="1" applyFont="1"/>
    <xf borderId="10" fillId="33" fontId="6" numFmtId="0" xfId="0" applyBorder="1" applyFill="1" applyFont="1"/>
    <xf borderId="1" fillId="0" fontId="3" numFmtId="0" xfId="0" applyAlignment="1" applyBorder="1" applyFont="1">
      <alignment horizontal="center" shrinkToFit="0" wrapText="1"/>
    </xf>
    <xf borderId="1" fillId="34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1" fillId="0" fontId="36" numFmtId="0" xfId="0" applyBorder="1" applyFont="1"/>
    <xf borderId="37" fillId="8" fontId="37" numFmtId="0" xfId="0" applyAlignment="1" applyBorder="1" applyFont="1">
      <alignment horizontal="center" readingOrder="0" shrinkToFit="0" vertical="bottom" wrapText="0"/>
    </xf>
    <xf borderId="20" fillId="0" fontId="4" numFmtId="0" xfId="0" applyBorder="1" applyFont="1"/>
    <xf borderId="18" fillId="0" fontId="34" numFmtId="0" xfId="0" applyAlignment="1" applyBorder="1" applyFont="1">
      <alignment horizontal="center" readingOrder="0" shrinkToFit="0" wrapText="0"/>
    </xf>
    <xf borderId="20" fillId="0" fontId="34" numFmtId="0" xfId="0" applyAlignment="1" applyBorder="1" applyFont="1">
      <alignment horizontal="center" readingOrder="0" shrinkToFit="0" wrapText="0"/>
    </xf>
    <xf borderId="18" fillId="0" fontId="38" numFmtId="0" xfId="0" applyAlignment="1" applyBorder="1" applyFont="1">
      <alignment horizontal="center" readingOrder="0" shrinkToFit="0" vertical="bottom" wrapText="0"/>
    </xf>
    <xf borderId="33" fillId="0" fontId="6" numFmtId="0" xfId="0" applyAlignment="1" applyBorder="1" applyFont="1">
      <alignment horizontal="right" readingOrder="0" shrinkToFit="0" vertical="bottom" wrapText="0"/>
    </xf>
    <xf borderId="33" fillId="0" fontId="6" numFmtId="0" xfId="0" applyAlignment="1" applyBorder="1" applyFont="1">
      <alignment shrinkToFit="0" vertical="bottom" wrapText="0"/>
    </xf>
    <xf borderId="33" fillId="0" fontId="6" numFmtId="0" xfId="0" applyAlignment="1" applyBorder="1" applyFont="1">
      <alignment horizontal="center" readingOrder="0" shrinkToFit="0" vertical="bottom" wrapText="0"/>
    </xf>
    <xf borderId="38" fillId="26" fontId="37" numFmtId="0" xfId="0" applyAlignment="1" applyBorder="1" applyFont="1">
      <alignment horizontal="center" readingOrder="0" shrinkToFit="0" vertical="bottom" wrapText="0"/>
    </xf>
    <xf borderId="39" fillId="0" fontId="4" numFmtId="0" xfId="0" applyBorder="1" applyFont="1"/>
    <xf borderId="0" fillId="26" fontId="37" numFmtId="0" xfId="0" applyAlignment="1" applyFont="1">
      <alignment horizontal="center" shrinkToFit="0" vertical="bottom" wrapText="0"/>
    </xf>
    <xf borderId="1" fillId="0" fontId="34" numFmtId="0" xfId="0" applyAlignment="1" applyBorder="1" applyFont="1">
      <alignment horizontal="center" readingOrder="0" shrinkToFit="0" wrapText="0"/>
    </xf>
    <xf borderId="1" fillId="0" fontId="34" numFmtId="0" xfId="0" applyAlignment="1" applyBorder="1" applyFont="1">
      <alignment horizontal="center" readingOrder="0"/>
    </xf>
    <xf borderId="17" fillId="0" fontId="34" numFmtId="0" xfId="0" applyAlignment="1" applyBorder="1" applyFont="1">
      <alignment horizontal="center" readingOrder="0" vertical="bottom"/>
    </xf>
    <xf borderId="1" fillId="0" fontId="34" numFmtId="0" xfId="0" applyAlignment="1" applyBorder="1" applyFont="1">
      <alignment horizontal="center" readingOrder="0" vertical="bottom"/>
    </xf>
    <xf borderId="33" fillId="0" fontId="6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lendarpedia.com/" TargetMode="External"/><Relationship Id="rId2" Type="http://schemas.openxmlformats.org/officeDocument/2006/relationships/hyperlink" Target="https://www.calendarpedia.com/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6" width="11.4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6.0</v>
      </c>
    </row>
    <row r="3" ht="14.25" customHeight="1">
      <c r="A3" s="1" t="s">
        <v>3</v>
      </c>
      <c r="B3" s="1">
        <v>9.0</v>
      </c>
    </row>
    <row r="4" ht="14.25" customHeight="1">
      <c r="A4" s="1" t="s">
        <v>4</v>
      </c>
      <c r="B4" s="1">
        <v>0.0</v>
      </c>
    </row>
    <row r="5" ht="14.25" customHeight="1">
      <c r="A5" s="1" t="s">
        <v>5</v>
      </c>
      <c r="B5" s="1">
        <v>5.0</v>
      </c>
    </row>
    <row r="6" ht="14.25" customHeight="1">
      <c r="A6" s="1" t="s">
        <v>6</v>
      </c>
      <c r="B6" s="1">
        <v>8.0</v>
      </c>
    </row>
    <row r="7" ht="14.25" customHeight="1">
      <c r="A7" s="1" t="s">
        <v>7</v>
      </c>
      <c r="B7" s="1">
        <v>9.0</v>
      </c>
    </row>
    <row r="8" ht="14.25" customHeight="1">
      <c r="A8" s="1" t="s">
        <v>8</v>
      </c>
      <c r="B8" s="1">
        <v>4.0</v>
      </c>
    </row>
    <row r="9" ht="14.25" customHeight="1">
      <c r="A9" s="1" t="s">
        <v>9</v>
      </c>
      <c r="B9" s="1">
        <v>5.0</v>
      </c>
    </row>
    <row r="10" ht="14.25" customHeight="1">
      <c r="A10" s="1" t="s">
        <v>10</v>
      </c>
      <c r="B10" s="1">
        <v>8.0</v>
      </c>
    </row>
    <row r="11" ht="14.25" customHeight="1">
      <c r="A11" s="1" t="s">
        <v>11</v>
      </c>
      <c r="B11" s="1">
        <v>8.0</v>
      </c>
    </row>
    <row r="12" ht="14.25" customHeight="1">
      <c r="A12" s="1" t="s">
        <v>12</v>
      </c>
      <c r="B12" s="1">
        <v>4.0</v>
      </c>
    </row>
    <row r="13" ht="14.25" customHeight="1">
      <c r="A13" s="1" t="s">
        <v>13</v>
      </c>
      <c r="B13" s="1">
        <v>4.0</v>
      </c>
    </row>
    <row r="14" ht="14.25" customHeight="1">
      <c r="A14" s="1" t="s">
        <v>14</v>
      </c>
      <c r="B14" s="1">
        <v>8.0</v>
      </c>
    </row>
    <row r="15" ht="14.25" customHeight="1">
      <c r="A15" s="1" t="s">
        <v>15</v>
      </c>
      <c r="B15" s="1">
        <v>4.0</v>
      </c>
    </row>
    <row r="16" ht="14.25" customHeight="1">
      <c r="A16" s="1" t="s">
        <v>16</v>
      </c>
      <c r="B16" s="1">
        <v>9.0</v>
      </c>
    </row>
    <row r="17" ht="14.25" customHeight="1">
      <c r="A17" s="1" t="s">
        <v>17</v>
      </c>
      <c r="B17" s="1">
        <v>8.0</v>
      </c>
    </row>
    <row r="18" ht="14.25" customHeight="1">
      <c r="A18" s="1" t="s">
        <v>18</v>
      </c>
      <c r="B18" s="1">
        <v>9.0</v>
      </c>
    </row>
    <row r="19" ht="14.25" customHeight="1">
      <c r="A19" s="1" t="s">
        <v>19</v>
      </c>
      <c r="B19" s="1">
        <v>6.5</v>
      </c>
    </row>
    <row r="20" ht="14.25" customHeight="1">
      <c r="A20" s="1" t="s">
        <v>20</v>
      </c>
      <c r="B20" s="1">
        <v>6.5</v>
      </c>
    </row>
    <row r="21" ht="14.25" customHeight="1">
      <c r="A21" s="1" t="s">
        <v>21</v>
      </c>
      <c r="B21" s="1">
        <v>9.0</v>
      </c>
    </row>
    <row r="22" ht="14.25" customHeight="1">
      <c r="A22" s="1" t="s">
        <v>22</v>
      </c>
      <c r="B22" s="1">
        <v>6.0</v>
      </c>
    </row>
    <row r="23" ht="14.25" customHeight="1">
      <c r="A23" s="1" t="s">
        <v>23</v>
      </c>
      <c r="B23" s="1">
        <v>6.0</v>
      </c>
    </row>
    <row r="24" ht="14.25" customHeight="1">
      <c r="A24" s="1" t="s">
        <v>24</v>
      </c>
      <c r="B24" s="1">
        <v>8.0</v>
      </c>
    </row>
    <row r="25" ht="14.25" customHeight="1">
      <c r="A25" s="1" t="s">
        <v>25</v>
      </c>
      <c r="B25" s="1">
        <v>8.0</v>
      </c>
    </row>
    <row r="26" ht="14.25" customHeight="1">
      <c r="A26" s="1" t="s">
        <v>26</v>
      </c>
      <c r="B26" s="1">
        <v>9.0</v>
      </c>
    </row>
    <row r="27" ht="14.25" customHeight="1">
      <c r="A27" s="1" t="s">
        <v>27</v>
      </c>
      <c r="B27" s="1">
        <v>8.0</v>
      </c>
    </row>
    <row r="28" ht="14.25" customHeight="1">
      <c r="A28" s="1" t="s">
        <v>28</v>
      </c>
      <c r="B28" s="1">
        <v>5.5</v>
      </c>
    </row>
    <row r="29" ht="14.25" customHeight="1">
      <c r="A29" s="1" t="s">
        <v>29</v>
      </c>
      <c r="B29" s="1">
        <v>8.0</v>
      </c>
    </row>
    <row r="30" ht="14.25" customHeight="1">
      <c r="A30" s="1" t="s">
        <v>24</v>
      </c>
      <c r="B30" s="1">
        <v>8.0</v>
      </c>
    </row>
    <row r="31" ht="14.25" customHeight="1">
      <c r="A31" s="1" t="s">
        <v>17</v>
      </c>
      <c r="B31" s="1">
        <v>8.0</v>
      </c>
    </row>
    <row r="32" ht="14.25" customHeight="1">
      <c r="A32" s="1" t="s">
        <v>30</v>
      </c>
      <c r="B32" s="1">
        <v>8.0</v>
      </c>
    </row>
    <row r="33" ht="14.25" customHeight="1">
      <c r="A33" s="1" t="s">
        <v>31</v>
      </c>
      <c r="B33" s="1">
        <v>6.0</v>
      </c>
    </row>
    <row r="34" ht="14.25" customHeight="1">
      <c r="A34" s="1" t="s">
        <v>32</v>
      </c>
      <c r="B34" s="1">
        <v>7.0</v>
      </c>
    </row>
    <row r="35" ht="14.25" customHeight="1">
      <c r="A35" s="1" t="s">
        <v>7</v>
      </c>
      <c r="B35" s="1">
        <v>9.0</v>
      </c>
    </row>
    <row r="36" ht="14.25" customHeight="1">
      <c r="A36" s="1" t="s">
        <v>33</v>
      </c>
      <c r="B36" s="1">
        <v>9.0</v>
      </c>
    </row>
    <row r="37" ht="14.25" customHeight="1">
      <c r="A37" s="1" t="s">
        <v>34</v>
      </c>
      <c r="B37" s="1">
        <v>6.0</v>
      </c>
    </row>
    <row r="38" ht="14.25" customHeight="1">
      <c r="A38" s="2" t="s">
        <v>35</v>
      </c>
      <c r="B38" s="1">
        <v>6.0</v>
      </c>
    </row>
    <row r="39" ht="14.25" customHeight="1">
      <c r="A39" s="2" t="s">
        <v>36</v>
      </c>
      <c r="B39" s="1">
        <v>8.0</v>
      </c>
    </row>
    <row r="40" ht="14.25" customHeight="1">
      <c r="A40" s="2" t="s">
        <v>31</v>
      </c>
      <c r="B40" s="1">
        <v>6.0</v>
      </c>
    </row>
    <row r="41" ht="14.25" customHeight="1">
      <c r="A41" s="2" t="s">
        <v>37</v>
      </c>
      <c r="B41" s="1">
        <v>8.0</v>
      </c>
    </row>
    <row r="42" ht="14.25" customHeight="1">
      <c r="A42" s="2" t="s">
        <v>38</v>
      </c>
      <c r="B42" s="1">
        <v>7.0</v>
      </c>
    </row>
    <row r="43" ht="14.25" customHeight="1">
      <c r="A43" s="2" t="s">
        <v>17</v>
      </c>
      <c r="B43" s="1">
        <v>8.0</v>
      </c>
    </row>
    <row r="44" ht="14.25" customHeight="1">
      <c r="A44" s="2" t="s">
        <v>39</v>
      </c>
      <c r="B44" s="1">
        <v>6.5</v>
      </c>
    </row>
    <row r="45" ht="14.25" customHeight="1">
      <c r="A45" s="2" t="s">
        <v>40</v>
      </c>
      <c r="B45" s="1">
        <v>4.0</v>
      </c>
    </row>
    <row r="46" ht="14.25" customHeight="1">
      <c r="A46" s="2" t="s">
        <v>41</v>
      </c>
      <c r="B46" s="1">
        <v>7.0</v>
      </c>
    </row>
    <row r="47" ht="14.25" customHeight="1">
      <c r="A47" s="2" t="s">
        <v>42</v>
      </c>
      <c r="B47" s="1">
        <v>8.0</v>
      </c>
    </row>
    <row r="48" ht="14.25" customHeight="1">
      <c r="A48" s="2" t="s">
        <v>43</v>
      </c>
      <c r="B48" s="1">
        <v>8.0</v>
      </c>
    </row>
    <row r="49" ht="14.25" customHeight="1">
      <c r="A49" s="2" t="s">
        <v>44</v>
      </c>
      <c r="B49" s="1">
        <v>8.0</v>
      </c>
    </row>
    <row r="50" ht="14.25" customHeight="1">
      <c r="A50" s="3" t="s">
        <v>45</v>
      </c>
      <c r="B50" s="1">
        <v>9.0</v>
      </c>
    </row>
    <row r="51" ht="14.25" customHeight="1">
      <c r="A51" s="2" t="s">
        <v>46</v>
      </c>
      <c r="B51" s="1">
        <v>8.0</v>
      </c>
    </row>
    <row r="52" ht="14.25" customHeight="1">
      <c r="A52" s="1" t="s">
        <v>9</v>
      </c>
      <c r="B52" s="1">
        <v>5.0</v>
      </c>
    </row>
    <row r="53" ht="14.25" customHeight="1">
      <c r="A53" s="2" t="s">
        <v>30</v>
      </c>
      <c r="B53" s="1">
        <v>8.0</v>
      </c>
    </row>
    <row r="54" ht="14.25" customHeight="1">
      <c r="A54" s="2" t="s">
        <v>11</v>
      </c>
      <c r="B54" s="1">
        <v>8.0</v>
      </c>
    </row>
    <row r="55" ht="14.25" customHeight="1">
      <c r="A55" s="2" t="s">
        <v>47</v>
      </c>
      <c r="B55" s="1">
        <v>9.0</v>
      </c>
    </row>
    <row r="56" ht="14.25" customHeight="1">
      <c r="A56" s="2" t="s">
        <v>48</v>
      </c>
      <c r="B56" s="1">
        <v>2.0</v>
      </c>
    </row>
    <row r="57" ht="14.25" customHeight="1">
      <c r="A57" s="2" t="s">
        <v>49</v>
      </c>
      <c r="B57" s="1">
        <v>6.0</v>
      </c>
    </row>
    <row r="58" ht="14.25" customHeight="1">
      <c r="A58" s="3" t="s">
        <v>46</v>
      </c>
      <c r="B58" s="1">
        <v>8.0</v>
      </c>
    </row>
    <row r="59" ht="14.25" customHeight="1">
      <c r="A59" s="1" t="s">
        <v>50</v>
      </c>
      <c r="B59" s="1">
        <v>8.0</v>
      </c>
    </row>
    <row r="60" ht="14.25" customHeight="1">
      <c r="A60" s="2" t="s">
        <v>6</v>
      </c>
      <c r="B60" s="1">
        <v>8.0</v>
      </c>
    </row>
    <row r="61" ht="14.25" customHeight="1">
      <c r="A61" s="2" t="s">
        <v>2</v>
      </c>
      <c r="B61" s="1">
        <v>6.0</v>
      </c>
    </row>
    <row r="62" ht="14.25" customHeight="1">
      <c r="A62" s="2" t="s">
        <v>51</v>
      </c>
      <c r="B62" s="1">
        <v>8.0</v>
      </c>
    </row>
    <row r="63" ht="14.25" customHeight="1">
      <c r="A63" s="1" t="s">
        <v>31</v>
      </c>
      <c r="B63" s="1">
        <v>6.0</v>
      </c>
    </row>
    <row r="64" ht="14.25" customHeight="1">
      <c r="A64" s="2" t="s">
        <v>52</v>
      </c>
      <c r="B64" s="1">
        <v>7.5</v>
      </c>
    </row>
    <row r="65" ht="14.25" customHeight="1">
      <c r="A65" s="2" t="s">
        <v>53</v>
      </c>
      <c r="B65" s="1">
        <v>8.0</v>
      </c>
    </row>
    <row r="66" ht="14.25" customHeight="1">
      <c r="A66" s="2" t="s">
        <v>47</v>
      </c>
      <c r="B66" s="1">
        <v>8.0</v>
      </c>
    </row>
    <row r="67" ht="14.25" customHeight="1">
      <c r="A67" s="2" t="s">
        <v>54</v>
      </c>
      <c r="B67" s="1">
        <v>9.0</v>
      </c>
    </row>
    <row r="68" ht="14.25" customHeight="1">
      <c r="A68" s="2" t="s">
        <v>55</v>
      </c>
      <c r="B68" s="1">
        <v>8.5</v>
      </c>
    </row>
    <row r="69" ht="14.25" customHeight="1">
      <c r="A69" s="2" t="s">
        <v>56</v>
      </c>
      <c r="B69" s="1">
        <v>8.0</v>
      </c>
    </row>
    <row r="70" ht="14.25" customHeight="1">
      <c r="A70" s="2" t="s">
        <v>57</v>
      </c>
      <c r="B70" s="1">
        <v>6.0</v>
      </c>
    </row>
    <row r="71" ht="14.25" customHeight="1">
      <c r="A71" s="2" t="s">
        <v>58</v>
      </c>
      <c r="B71" s="1">
        <v>8.0</v>
      </c>
    </row>
    <row r="72" ht="14.25" customHeight="1">
      <c r="A72" s="2" t="s">
        <v>59</v>
      </c>
      <c r="B72" s="1">
        <v>8.0</v>
      </c>
    </row>
    <row r="73" ht="14.25" customHeight="1">
      <c r="A73" s="2" t="s">
        <v>23</v>
      </c>
      <c r="B73" s="1">
        <v>6.0</v>
      </c>
    </row>
    <row r="74" ht="14.25" customHeight="1">
      <c r="A74" s="1" t="s">
        <v>60</v>
      </c>
      <c r="B74" s="1">
        <v>8.0</v>
      </c>
    </row>
    <row r="75" ht="14.25" customHeight="1">
      <c r="A75" s="1" t="s">
        <v>61</v>
      </c>
      <c r="B75" s="1">
        <v>6.5</v>
      </c>
    </row>
    <row r="76" ht="14.25" customHeight="1">
      <c r="A76" s="1" t="s">
        <v>62</v>
      </c>
      <c r="B76" s="1">
        <v>4.5</v>
      </c>
    </row>
    <row r="77" ht="14.25" customHeight="1">
      <c r="A77" s="1" t="s">
        <v>63</v>
      </c>
      <c r="B77" s="1">
        <v>5.0</v>
      </c>
    </row>
    <row r="78" ht="14.25" customHeight="1">
      <c r="A78" s="1" t="s">
        <v>64</v>
      </c>
      <c r="B78" s="1">
        <v>8.0</v>
      </c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headerFooter>
    <oddFooter>&amp;C_x000D_#000000 [Public]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5.29"/>
    <col customWidth="1" min="2" max="2" width="13.71"/>
    <col customWidth="1" hidden="1" min="3" max="3" width="11.43"/>
    <col customWidth="1" min="4" max="4" width="16.71"/>
    <col customWidth="1" hidden="1" min="5" max="5" width="16.71"/>
    <col customWidth="1" min="6" max="97" width="11.43"/>
  </cols>
  <sheetData>
    <row r="1" ht="14.25" customHeight="1"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</row>
    <row r="2" ht="14.25" customHeight="1">
      <c r="F2" s="5" t="str">
        <f>CONCAT("W ",ISOWEEKNUM(F3))</f>
        <v>W 40</v>
      </c>
      <c r="G2" s="6"/>
      <c r="H2" s="6"/>
      <c r="I2" s="6"/>
      <c r="J2" s="7"/>
      <c r="K2" s="8" t="str">
        <f>CONCAT("W ",ISOWEEKNUM(K3))</f>
        <v>W 41</v>
      </c>
      <c r="L2" s="6"/>
      <c r="M2" s="6"/>
      <c r="N2" s="6"/>
      <c r="O2" s="6"/>
      <c r="P2" s="6"/>
      <c r="Q2" s="9"/>
      <c r="R2" s="5" t="str">
        <f>CONCAT("W ",ISOWEEKNUM(R3))</f>
        <v>W 42</v>
      </c>
      <c r="S2" s="6"/>
      <c r="T2" s="6"/>
      <c r="U2" s="6"/>
      <c r="V2" s="6"/>
      <c r="W2" s="6"/>
      <c r="X2" s="9"/>
      <c r="Y2" s="5" t="str">
        <f>CONCAT("W ",ISOWEEKNUM(Y3))</f>
        <v>W 43</v>
      </c>
      <c r="Z2" s="6"/>
      <c r="AA2" s="6"/>
      <c r="AB2" s="6"/>
      <c r="AC2" s="6"/>
      <c r="AD2" s="6"/>
      <c r="AE2" s="9"/>
      <c r="AF2" s="5" t="str">
        <f>CONCAT("W ",ISOWEEKNUM(AF3))</f>
        <v>W 44</v>
      </c>
      <c r="AG2" s="6"/>
      <c r="AH2" s="6"/>
      <c r="AI2" s="6"/>
      <c r="AJ2" s="6"/>
      <c r="AK2" s="6"/>
      <c r="AL2" s="9"/>
      <c r="AM2" s="5" t="str">
        <f>CONCAT("W ",ISOWEEKNUM(AM3))</f>
        <v>W 45</v>
      </c>
      <c r="AN2" s="6"/>
      <c r="AO2" s="6"/>
      <c r="AP2" s="6"/>
      <c r="AQ2" s="6"/>
      <c r="AR2" s="6"/>
      <c r="AS2" s="9"/>
      <c r="AT2" s="5" t="str">
        <f>CONCAT("W ",ISOWEEKNUM(AT3))</f>
        <v>W 46</v>
      </c>
      <c r="AU2" s="6"/>
      <c r="AV2" s="6"/>
      <c r="AW2" s="6"/>
      <c r="AX2" s="6"/>
      <c r="AY2" s="6"/>
      <c r="AZ2" s="9"/>
      <c r="BA2" s="5" t="str">
        <f>CONCAT("W ",ISOWEEKNUM(BA3))</f>
        <v>W 47</v>
      </c>
      <c r="BB2" s="6"/>
      <c r="BC2" s="6"/>
      <c r="BD2" s="6"/>
      <c r="BE2" s="6"/>
      <c r="BF2" s="6"/>
      <c r="BG2" s="9"/>
      <c r="BH2" s="5" t="str">
        <f>CONCAT("W ",ISOWEEKNUM(BH3))</f>
        <v>W 48</v>
      </c>
      <c r="BI2" s="6"/>
      <c r="BJ2" s="6"/>
      <c r="BK2" s="6"/>
      <c r="BL2" s="6"/>
      <c r="BM2" s="6"/>
      <c r="BN2" s="9"/>
      <c r="BO2" s="5" t="str">
        <f>CONCAT("W ",ISOWEEKNUM(BO3))</f>
        <v>W 49</v>
      </c>
      <c r="BP2" s="6"/>
      <c r="BQ2" s="6"/>
      <c r="BR2" s="6"/>
      <c r="BS2" s="6"/>
      <c r="BT2" s="6"/>
      <c r="BU2" s="9"/>
      <c r="BV2" s="5" t="str">
        <f>CONCAT("W ",ISOWEEKNUM(BV3))</f>
        <v>W 50</v>
      </c>
      <c r="BW2" s="6"/>
      <c r="BX2" s="6"/>
      <c r="BY2" s="6"/>
      <c r="BZ2" s="6"/>
      <c r="CA2" s="6"/>
      <c r="CB2" s="9"/>
      <c r="CC2" s="5" t="str">
        <f>CONCAT("W ",ISOWEEKNUM(CC3))</f>
        <v>W 51</v>
      </c>
      <c r="CD2" s="6"/>
      <c r="CE2" s="6"/>
      <c r="CF2" s="6"/>
      <c r="CG2" s="6"/>
      <c r="CH2" s="6"/>
      <c r="CI2" s="9"/>
      <c r="CJ2" s="5" t="str">
        <f>CONCAT("W ",ISOWEEKNUM(CJ3))</f>
        <v>W 52</v>
      </c>
      <c r="CK2" s="6"/>
      <c r="CL2" s="6"/>
      <c r="CM2" s="6"/>
      <c r="CN2" s="6"/>
      <c r="CO2" s="6"/>
      <c r="CP2" s="9"/>
      <c r="CQ2" s="5" t="str">
        <f>CONCAT("W ",ISOWEEKNUM(CQ3))</f>
        <v>W 1</v>
      </c>
      <c r="CR2" s="6"/>
      <c r="CS2" s="9"/>
    </row>
    <row r="3" ht="14.25" customHeight="1">
      <c r="A3" s="10" t="s">
        <v>65</v>
      </c>
      <c r="B3" s="11" t="s">
        <v>66</v>
      </c>
      <c r="C3" s="10" t="s">
        <v>67</v>
      </c>
      <c r="D3" s="12" t="s">
        <v>68</v>
      </c>
      <c r="E3" s="11" t="s">
        <v>69</v>
      </c>
      <c r="F3" s="13">
        <v>45931.0</v>
      </c>
      <c r="G3" s="14">
        <v>45932.0</v>
      </c>
      <c r="H3" s="14">
        <v>45933.0</v>
      </c>
      <c r="I3" s="14">
        <v>45934.0</v>
      </c>
      <c r="J3" s="15">
        <v>45935.0</v>
      </c>
      <c r="K3" s="16">
        <v>45936.0</v>
      </c>
      <c r="L3" s="16">
        <v>45937.0</v>
      </c>
      <c r="M3" s="16">
        <v>45938.0</v>
      </c>
      <c r="N3" s="16">
        <v>45939.0</v>
      </c>
      <c r="O3" s="16">
        <v>45940.0</v>
      </c>
      <c r="P3" s="16">
        <v>45941.0</v>
      </c>
      <c r="Q3" s="17">
        <v>45942.0</v>
      </c>
      <c r="R3" s="18">
        <v>45943.0</v>
      </c>
      <c r="S3" s="16">
        <v>45944.0</v>
      </c>
      <c r="T3" s="16">
        <v>45945.0</v>
      </c>
      <c r="U3" s="16">
        <v>45946.0</v>
      </c>
      <c r="V3" s="16">
        <v>45947.0</v>
      </c>
      <c r="W3" s="16">
        <v>45948.0</v>
      </c>
      <c r="X3" s="17">
        <v>45949.0</v>
      </c>
      <c r="Y3" s="18">
        <v>45950.0</v>
      </c>
      <c r="Z3" s="16">
        <v>45951.0</v>
      </c>
      <c r="AA3" s="16">
        <v>45952.0</v>
      </c>
      <c r="AB3" s="16">
        <v>45953.0</v>
      </c>
      <c r="AC3" s="16">
        <v>45954.0</v>
      </c>
      <c r="AD3" s="16">
        <v>45955.0</v>
      </c>
      <c r="AE3" s="17">
        <v>45956.0</v>
      </c>
      <c r="AF3" s="18">
        <v>45957.0</v>
      </c>
      <c r="AG3" s="16">
        <v>45958.0</v>
      </c>
      <c r="AH3" s="16">
        <v>45959.0</v>
      </c>
      <c r="AI3" s="16">
        <v>45960.0</v>
      </c>
      <c r="AJ3" s="16">
        <v>45961.0</v>
      </c>
      <c r="AK3" s="16">
        <v>45962.0</v>
      </c>
      <c r="AL3" s="17">
        <v>45963.0</v>
      </c>
      <c r="AM3" s="18">
        <v>45964.0</v>
      </c>
      <c r="AN3" s="16">
        <v>45965.0</v>
      </c>
      <c r="AO3" s="16">
        <v>45966.0</v>
      </c>
      <c r="AP3" s="16">
        <v>45967.0</v>
      </c>
      <c r="AQ3" s="16">
        <v>45968.0</v>
      </c>
      <c r="AR3" s="16">
        <v>45969.0</v>
      </c>
      <c r="AS3" s="17">
        <v>45970.0</v>
      </c>
      <c r="AT3" s="18">
        <v>45971.0</v>
      </c>
      <c r="AU3" s="16">
        <v>45972.0</v>
      </c>
      <c r="AV3" s="16">
        <v>45973.0</v>
      </c>
      <c r="AW3" s="16">
        <v>45974.0</v>
      </c>
      <c r="AX3" s="16">
        <v>45975.0</v>
      </c>
      <c r="AY3" s="16">
        <v>45976.0</v>
      </c>
      <c r="AZ3" s="17">
        <v>45977.0</v>
      </c>
      <c r="BA3" s="18">
        <v>45978.0</v>
      </c>
      <c r="BB3" s="16">
        <v>45979.0</v>
      </c>
      <c r="BC3" s="16">
        <v>45980.0</v>
      </c>
      <c r="BD3" s="16">
        <v>45981.0</v>
      </c>
      <c r="BE3" s="16">
        <v>45982.0</v>
      </c>
      <c r="BF3" s="16">
        <v>45983.0</v>
      </c>
      <c r="BG3" s="17">
        <v>45984.0</v>
      </c>
      <c r="BH3" s="18">
        <v>45985.0</v>
      </c>
      <c r="BI3" s="16">
        <v>45986.0</v>
      </c>
      <c r="BJ3" s="16">
        <v>45987.0</v>
      </c>
      <c r="BK3" s="16">
        <v>45988.0</v>
      </c>
      <c r="BL3" s="16">
        <v>45989.0</v>
      </c>
      <c r="BM3" s="16">
        <v>45990.0</v>
      </c>
      <c r="BN3" s="17">
        <v>45991.0</v>
      </c>
      <c r="BO3" s="18">
        <v>45992.0</v>
      </c>
      <c r="BP3" s="16">
        <v>45993.0</v>
      </c>
      <c r="BQ3" s="16">
        <v>45994.0</v>
      </c>
      <c r="BR3" s="16">
        <v>45995.0</v>
      </c>
      <c r="BS3" s="16">
        <v>45996.0</v>
      </c>
      <c r="BT3" s="16">
        <v>45997.0</v>
      </c>
      <c r="BU3" s="17">
        <v>45998.0</v>
      </c>
      <c r="BV3" s="18">
        <v>45999.0</v>
      </c>
      <c r="BW3" s="16">
        <v>46000.0</v>
      </c>
      <c r="BX3" s="16">
        <v>46001.0</v>
      </c>
      <c r="BY3" s="16">
        <v>46002.0</v>
      </c>
      <c r="BZ3" s="16">
        <v>46003.0</v>
      </c>
      <c r="CA3" s="16">
        <v>46004.0</v>
      </c>
      <c r="CB3" s="17">
        <v>46005.0</v>
      </c>
      <c r="CC3" s="18">
        <v>46006.0</v>
      </c>
      <c r="CD3" s="16">
        <v>46007.0</v>
      </c>
      <c r="CE3" s="16">
        <v>46008.0</v>
      </c>
      <c r="CF3" s="16">
        <v>46009.0</v>
      </c>
      <c r="CG3" s="16">
        <v>46010.0</v>
      </c>
      <c r="CH3" s="16">
        <v>46011.0</v>
      </c>
      <c r="CI3" s="17">
        <v>46012.0</v>
      </c>
      <c r="CJ3" s="18">
        <v>46013.0</v>
      </c>
      <c r="CK3" s="16">
        <v>46014.0</v>
      </c>
      <c r="CL3" s="16">
        <v>46015.0</v>
      </c>
      <c r="CM3" s="16">
        <v>46016.0</v>
      </c>
      <c r="CN3" s="16">
        <v>46017.0</v>
      </c>
      <c r="CO3" s="16">
        <v>46018.0</v>
      </c>
      <c r="CP3" s="17">
        <v>46019.0</v>
      </c>
      <c r="CQ3" s="18">
        <v>46020.0</v>
      </c>
      <c r="CR3" s="16">
        <v>46021.0</v>
      </c>
      <c r="CS3" s="17">
        <v>46022.0</v>
      </c>
    </row>
    <row r="4" ht="14.25" customHeight="1">
      <c r="A4" s="19" t="s">
        <v>70</v>
      </c>
      <c r="B4" s="20"/>
      <c r="C4" s="21">
        <v>40.0</v>
      </c>
      <c r="D4" s="22" t="s">
        <v>71</v>
      </c>
      <c r="E4" s="23">
        <v>6.96240297E8</v>
      </c>
      <c r="F4" s="24"/>
      <c r="G4" s="24"/>
      <c r="H4" s="24"/>
      <c r="I4" s="24"/>
      <c r="J4" s="25"/>
      <c r="K4" s="24"/>
      <c r="L4" s="24"/>
      <c r="M4" s="24"/>
      <c r="N4" s="24"/>
      <c r="O4" s="24"/>
      <c r="P4" s="24"/>
      <c r="Q4" s="24"/>
      <c r="R4" s="26"/>
      <c r="S4" s="24"/>
      <c r="T4" s="24"/>
      <c r="U4" s="24"/>
      <c r="V4" s="24"/>
      <c r="W4" s="24"/>
      <c r="X4" s="27"/>
      <c r="Y4" s="26"/>
      <c r="Z4" s="24"/>
      <c r="AA4" s="24"/>
      <c r="AB4" s="24"/>
      <c r="AC4" s="24"/>
      <c r="AD4" s="24"/>
      <c r="AE4" s="27"/>
      <c r="AF4" s="26"/>
      <c r="AG4" s="24"/>
      <c r="AH4" s="24"/>
      <c r="AI4" s="24"/>
      <c r="AJ4" s="24"/>
      <c r="AK4" s="24"/>
      <c r="AL4" s="27"/>
      <c r="AM4" s="26"/>
      <c r="AN4" s="24"/>
      <c r="AO4" s="24"/>
      <c r="AP4" s="24"/>
      <c r="AQ4" s="24"/>
      <c r="AR4" s="24"/>
      <c r="AS4" s="27"/>
      <c r="AT4" s="26"/>
      <c r="AU4" s="24"/>
      <c r="AV4" s="24"/>
      <c r="AW4" s="24"/>
      <c r="AX4" s="24"/>
      <c r="AY4" s="24"/>
      <c r="AZ4" s="27"/>
      <c r="BA4" s="26"/>
      <c r="BB4" s="24"/>
      <c r="BC4" s="24"/>
      <c r="BD4" s="24"/>
      <c r="BE4" s="24"/>
      <c r="BF4" s="24"/>
      <c r="BG4" s="27"/>
      <c r="BH4" s="26"/>
      <c r="BI4" s="24"/>
      <c r="BJ4" s="24"/>
      <c r="BK4" s="24"/>
      <c r="BL4" s="24"/>
      <c r="BM4" s="24"/>
      <c r="BN4" s="27"/>
      <c r="BO4" s="26"/>
      <c r="BP4" s="24"/>
      <c r="BQ4" s="24"/>
      <c r="BR4" s="24"/>
      <c r="BS4" s="24"/>
      <c r="BT4" s="24"/>
      <c r="BU4" s="27"/>
      <c r="BV4" s="26"/>
      <c r="BW4" s="24"/>
      <c r="BX4" s="24"/>
      <c r="BY4" s="24"/>
      <c r="BZ4" s="24"/>
      <c r="CA4" s="24"/>
      <c r="CB4" s="27"/>
      <c r="CC4" s="26"/>
      <c r="CD4" s="24"/>
      <c r="CE4" s="24"/>
      <c r="CF4" s="24"/>
      <c r="CG4" s="24"/>
      <c r="CH4" s="24"/>
      <c r="CI4" s="27"/>
      <c r="CJ4" s="26"/>
      <c r="CK4" s="24"/>
      <c r="CL4" s="24"/>
      <c r="CM4" s="24"/>
      <c r="CN4" s="24"/>
      <c r="CO4" s="24"/>
      <c r="CP4" s="27"/>
      <c r="CQ4" s="26"/>
      <c r="CR4" s="24"/>
      <c r="CS4" s="27"/>
    </row>
    <row r="5" ht="14.25" customHeight="1">
      <c r="A5" s="28" t="s">
        <v>72</v>
      </c>
      <c r="B5" s="20"/>
      <c r="C5" s="20">
        <v>40.0</v>
      </c>
      <c r="D5" s="22" t="s">
        <v>73</v>
      </c>
      <c r="E5" s="23">
        <v>6.48707154E8</v>
      </c>
      <c r="F5" s="24"/>
      <c r="G5" s="24"/>
      <c r="H5" s="24"/>
      <c r="I5" s="24"/>
      <c r="J5" s="25"/>
      <c r="K5" s="24"/>
      <c r="L5" s="24"/>
      <c r="M5" s="24"/>
      <c r="N5" s="24"/>
      <c r="O5" s="24"/>
      <c r="P5" s="24"/>
      <c r="Q5" s="24"/>
      <c r="R5" s="26"/>
      <c r="S5" s="24"/>
      <c r="T5" s="24"/>
      <c r="U5" s="24"/>
      <c r="V5" s="24"/>
      <c r="W5" s="24"/>
      <c r="X5" s="27"/>
      <c r="Y5" s="26"/>
      <c r="Z5" s="24"/>
      <c r="AA5" s="24"/>
      <c r="AB5" s="24"/>
      <c r="AC5" s="24"/>
      <c r="AD5" s="24"/>
      <c r="AE5" s="27"/>
      <c r="AF5" s="26"/>
      <c r="AG5" s="24"/>
      <c r="AH5" s="24"/>
      <c r="AI5" s="24"/>
      <c r="AJ5" s="24"/>
      <c r="AK5" s="24"/>
      <c r="AL5" s="27"/>
      <c r="AM5" s="26"/>
      <c r="AN5" s="24"/>
      <c r="AO5" s="24"/>
      <c r="AP5" s="24"/>
      <c r="AQ5" s="24"/>
      <c r="AR5" s="24"/>
      <c r="AS5" s="27"/>
      <c r="AT5" s="26"/>
      <c r="AU5" s="24"/>
      <c r="AV5" s="24"/>
      <c r="AW5" s="24"/>
      <c r="AX5" s="24"/>
      <c r="AY5" s="24"/>
      <c r="AZ5" s="27"/>
      <c r="BA5" s="26"/>
      <c r="BB5" s="24"/>
      <c r="BC5" s="24"/>
      <c r="BD5" s="24"/>
      <c r="BE5" s="24"/>
      <c r="BF5" s="24"/>
      <c r="BG5" s="27"/>
      <c r="BH5" s="26"/>
      <c r="BI5" s="24"/>
      <c r="BJ5" s="24"/>
      <c r="BK5" s="24"/>
      <c r="BL5" s="24"/>
      <c r="BM5" s="24"/>
      <c r="BN5" s="27"/>
      <c r="BO5" s="26"/>
      <c r="BP5" s="24"/>
      <c r="BQ5" s="24"/>
      <c r="BR5" s="24"/>
      <c r="BS5" s="24"/>
      <c r="BT5" s="24"/>
      <c r="BU5" s="27"/>
      <c r="BV5" s="26"/>
      <c r="BW5" s="24"/>
      <c r="BX5" s="24"/>
      <c r="BY5" s="24"/>
      <c r="BZ5" s="24"/>
      <c r="CA5" s="24"/>
      <c r="CB5" s="27"/>
      <c r="CC5" s="26"/>
      <c r="CD5" s="24"/>
      <c r="CE5" s="24"/>
      <c r="CF5" s="24"/>
      <c r="CG5" s="24"/>
      <c r="CH5" s="24"/>
      <c r="CI5" s="27"/>
      <c r="CJ5" s="26"/>
      <c r="CK5" s="24"/>
      <c r="CL5" s="24"/>
      <c r="CM5" s="24"/>
      <c r="CN5" s="24"/>
      <c r="CO5" s="24"/>
      <c r="CP5" s="27"/>
      <c r="CQ5" s="26"/>
      <c r="CR5" s="24"/>
      <c r="CS5" s="27"/>
    </row>
    <row r="6" ht="14.25" customHeight="1">
      <c r="A6" s="28" t="s">
        <v>74</v>
      </c>
      <c r="B6" s="20"/>
      <c r="C6" s="20">
        <v>40.0</v>
      </c>
      <c r="D6" s="22" t="s">
        <v>75</v>
      </c>
      <c r="E6" s="23">
        <v>6.19911709E8</v>
      </c>
      <c r="F6" s="24"/>
      <c r="G6" s="24"/>
      <c r="H6" s="24"/>
      <c r="I6" s="24"/>
      <c r="J6" s="25"/>
      <c r="K6" s="24"/>
      <c r="L6" s="24"/>
      <c r="M6" s="24"/>
      <c r="N6" s="24"/>
      <c r="O6" s="24"/>
      <c r="P6" s="24"/>
      <c r="Q6" s="24"/>
      <c r="R6" s="26"/>
      <c r="S6" s="24"/>
      <c r="T6" s="24"/>
      <c r="U6" s="24"/>
      <c r="V6" s="24"/>
      <c r="W6" s="24"/>
      <c r="X6" s="27"/>
      <c r="Y6" s="26"/>
      <c r="Z6" s="24"/>
      <c r="AA6" s="24"/>
      <c r="AB6" s="24"/>
      <c r="AC6" s="24"/>
      <c r="AD6" s="24"/>
      <c r="AE6" s="27"/>
      <c r="AF6" s="26"/>
      <c r="AG6" s="24"/>
      <c r="AH6" s="24"/>
      <c r="AI6" s="24"/>
      <c r="AJ6" s="24"/>
      <c r="AK6" s="24"/>
      <c r="AL6" s="27"/>
      <c r="AM6" s="26"/>
      <c r="AN6" s="24"/>
      <c r="AO6" s="24"/>
      <c r="AP6" s="24"/>
      <c r="AQ6" s="24"/>
      <c r="AR6" s="24"/>
      <c r="AS6" s="27"/>
      <c r="AT6" s="26"/>
      <c r="AU6" s="24"/>
      <c r="AV6" s="24"/>
      <c r="AW6" s="24"/>
      <c r="AX6" s="24"/>
      <c r="AY6" s="24"/>
      <c r="AZ6" s="27"/>
      <c r="BA6" s="26"/>
      <c r="BB6" s="24"/>
      <c r="BC6" s="24"/>
      <c r="BD6" s="24"/>
      <c r="BE6" s="24"/>
      <c r="BF6" s="24"/>
      <c r="BG6" s="27"/>
      <c r="BH6" s="26"/>
      <c r="BI6" s="24"/>
      <c r="BJ6" s="24"/>
      <c r="BK6" s="24"/>
      <c r="BL6" s="24"/>
      <c r="BM6" s="24"/>
      <c r="BN6" s="27"/>
      <c r="BO6" s="26"/>
      <c r="BP6" s="24"/>
      <c r="BQ6" s="24"/>
      <c r="BR6" s="24"/>
      <c r="BS6" s="24"/>
      <c r="BT6" s="24"/>
      <c r="BU6" s="27"/>
      <c r="BV6" s="26"/>
      <c r="BW6" s="24"/>
      <c r="BX6" s="24"/>
      <c r="BY6" s="24"/>
      <c r="BZ6" s="24"/>
      <c r="CA6" s="24"/>
      <c r="CB6" s="27"/>
      <c r="CC6" s="26"/>
      <c r="CD6" s="24"/>
      <c r="CE6" s="24"/>
      <c r="CF6" s="24"/>
      <c r="CG6" s="24"/>
      <c r="CH6" s="24"/>
      <c r="CI6" s="27"/>
      <c r="CJ6" s="26"/>
      <c r="CK6" s="24"/>
      <c r="CL6" s="24"/>
      <c r="CM6" s="24"/>
      <c r="CN6" s="24"/>
      <c r="CO6" s="24"/>
      <c r="CP6" s="27"/>
      <c r="CQ6" s="26"/>
      <c r="CR6" s="24"/>
      <c r="CS6" s="27"/>
    </row>
    <row r="7" ht="14.25" customHeight="1">
      <c r="A7" s="28" t="s">
        <v>76</v>
      </c>
      <c r="B7" s="20"/>
      <c r="C7" s="20">
        <v>40.0</v>
      </c>
      <c r="D7" s="22" t="s">
        <v>77</v>
      </c>
      <c r="E7" s="29"/>
      <c r="F7" s="24"/>
      <c r="G7" s="24"/>
      <c r="H7" s="24"/>
      <c r="I7" s="24"/>
      <c r="J7" s="25"/>
      <c r="K7" s="24"/>
      <c r="L7" s="24"/>
      <c r="M7" s="24"/>
      <c r="N7" s="24"/>
      <c r="O7" s="24"/>
      <c r="P7" s="24"/>
      <c r="Q7" s="24"/>
      <c r="R7" s="26"/>
      <c r="S7" s="24"/>
      <c r="T7" s="24"/>
      <c r="U7" s="24"/>
      <c r="V7" s="24"/>
      <c r="W7" s="24"/>
      <c r="X7" s="27"/>
      <c r="Y7" s="26"/>
      <c r="Z7" s="24"/>
      <c r="AA7" s="24"/>
      <c r="AB7" s="24"/>
      <c r="AC7" s="24"/>
      <c r="AD7" s="24"/>
      <c r="AE7" s="27"/>
      <c r="AF7" s="26"/>
      <c r="AG7" s="24"/>
      <c r="AH7" s="24"/>
      <c r="AI7" s="24"/>
      <c r="AJ7" s="24"/>
      <c r="AK7" s="24"/>
      <c r="AL7" s="27"/>
      <c r="AM7" s="26"/>
      <c r="AN7" s="24"/>
      <c r="AO7" s="24"/>
      <c r="AP7" s="24"/>
      <c r="AQ7" s="24"/>
      <c r="AR7" s="24"/>
      <c r="AS7" s="27"/>
      <c r="AT7" s="26"/>
      <c r="AU7" s="24"/>
      <c r="AV7" s="24"/>
      <c r="AW7" s="24"/>
      <c r="AX7" s="24"/>
      <c r="AY7" s="24"/>
      <c r="AZ7" s="27"/>
      <c r="BA7" s="26"/>
      <c r="BB7" s="24"/>
      <c r="BC7" s="24"/>
      <c r="BD7" s="24"/>
      <c r="BE7" s="24"/>
      <c r="BF7" s="24"/>
      <c r="BG7" s="27"/>
      <c r="BH7" s="26"/>
      <c r="BI7" s="24"/>
      <c r="BJ7" s="24"/>
      <c r="BK7" s="24"/>
      <c r="BL7" s="24"/>
      <c r="BM7" s="24"/>
      <c r="BN7" s="27"/>
      <c r="BO7" s="26"/>
      <c r="BP7" s="24"/>
      <c r="BQ7" s="24"/>
      <c r="BR7" s="24"/>
      <c r="BS7" s="24"/>
      <c r="BT7" s="24"/>
      <c r="BU7" s="27"/>
      <c r="BV7" s="26"/>
      <c r="BW7" s="24"/>
      <c r="BX7" s="24"/>
      <c r="BY7" s="24"/>
      <c r="BZ7" s="24"/>
      <c r="CA7" s="24"/>
      <c r="CB7" s="27"/>
      <c r="CC7" s="26"/>
      <c r="CD7" s="24"/>
      <c r="CE7" s="24"/>
      <c r="CF7" s="24"/>
      <c r="CG7" s="24"/>
      <c r="CH7" s="24"/>
      <c r="CI7" s="27"/>
      <c r="CJ7" s="26"/>
      <c r="CK7" s="24"/>
      <c r="CL7" s="24"/>
      <c r="CM7" s="24"/>
      <c r="CN7" s="24"/>
      <c r="CO7" s="24"/>
      <c r="CP7" s="27"/>
      <c r="CQ7" s="26"/>
      <c r="CR7" s="24"/>
      <c r="CS7" s="27"/>
    </row>
    <row r="8" ht="14.25" customHeight="1">
      <c r="A8" s="30" t="s">
        <v>78</v>
      </c>
      <c r="B8" s="20"/>
      <c r="C8" s="20">
        <v>40.0</v>
      </c>
      <c r="D8" s="22" t="s">
        <v>79</v>
      </c>
      <c r="E8" s="23">
        <v>6.09124351E8</v>
      </c>
      <c r="F8" s="24"/>
      <c r="G8" s="24"/>
      <c r="H8" s="24"/>
      <c r="I8" s="24"/>
      <c r="J8" s="25"/>
      <c r="K8" s="24"/>
      <c r="L8" s="24"/>
      <c r="M8" s="24"/>
      <c r="N8" s="24"/>
      <c r="O8" s="24"/>
      <c r="P8" s="24"/>
      <c r="Q8" s="24"/>
      <c r="R8" s="26"/>
      <c r="S8" s="24"/>
      <c r="T8" s="24"/>
      <c r="U8" s="24"/>
      <c r="V8" s="24"/>
      <c r="W8" s="24"/>
      <c r="X8" s="27"/>
      <c r="Y8" s="26"/>
      <c r="Z8" s="24"/>
      <c r="AA8" s="24"/>
      <c r="AB8" s="24"/>
      <c r="AC8" s="24"/>
      <c r="AD8" s="24"/>
      <c r="AE8" s="27"/>
      <c r="AF8" s="26"/>
      <c r="AG8" s="24"/>
      <c r="AH8" s="24"/>
      <c r="AI8" s="24"/>
      <c r="AJ8" s="24"/>
      <c r="AK8" s="24"/>
      <c r="AL8" s="27"/>
      <c r="AM8" s="26"/>
      <c r="AN8" s="24"/>
      <c r="AO8" s="24"/>
      <c r="AP8" s="24"/>
      <c r="AQ8" s="24"/>
      <c r="AR8" s="24"/>
      <c r="AS8" s="27"/>
      <c r="AT8" s="26"/>
      <c r="AU8" s="24"/>
      <c r="AV8" s="24"/>
      <c r="AW8" s="24"/>
      <c r="AX8" s="24"/>
      <c r="AY8" s="24"/>
      <c r="AZ8" s="27"/>
      <c r="BA8" s="26"/>
      <c r="BB8" s="24"/>
      <c r="BC8" s="24"/>
      <c r="BD8" s="24"/>
      <c r="BE8" s="24"/>
      <c r="BF8" s="24"/>
      <c r="BG8" s="27"/>
      <c r="BH8" s="26"/>
      <c r="BI8" s="24"/>
      <c r="BJ8" s="24"/>
      <c r="BK8" s="24"/>
      <c r="BL8" s="24"/>
      <c r="BM8" s="24"/>
      <c r="BN8" s="27"/>
      <c r="BO8" s="26"/>
      <c r="BP8" s="24"/>
      <c r="BQ8" s="24"/>
      <c r="BR8" s="24"/>
      <c r="BS8" s="24"/>
      <c r="BT8" s="24"/>
      <c r="BU8" s="27"/>
      <c r="BV8" s="26"/>
      <c r="BW8" s="24"/>
      <c r="BX8" s="24"/>
      <c r="BY8" s="24"/>
      <c r="BZ8" s="24"/>
      <c r="CA8" s="24"/>
      <c r="CB8" s="27"/>
      <c r="CC8" s="26"/>
      <c r="CD8" s="24"/>
      <c r="CE8" s="24"/>
      <c r="CF8" s="24"/>
      <c r="CG8" s="24"/>
      <c r="CH8" s="24"/>
      <c r="CI8" s="27"/>
      <c r="CJ8" s="26"/>
      <c r="CK8" s="24"/>
      <c r="CL8" s="24"/>
      <c r="CM8" s="24"/>
      <c r="CN8" s="24"/>
      <c r="CO8" s="24"/>
      <c r="CP8" s="27"/>
      <c r="CQ8" s="26"/>
      <c r="CR8" s="24"/>
      <c r="CS8" s="27"/>
    </row>
    <row r="9" ht="14.25" customHeight="1">
      <c r="A9" s="28" t="s">
        <v>80</v>
      </c>
      <c r="B9" s="20"/>
      <c r="C9" s="20">
        <v>40.0</v>
      </c>
      <c r="D9" s="22" t="s">
        <v>81</v>
      </c>
      <c r="E9" s="23">
        <v>6.16238557E8</v>
      </c>
      <c r="F9" s="24"/>
      <c r="G9" s="24"/>
      <c r="H9" s="24"/>
      <c r="I9" s="24"/>
      <c r="J9" s="25"/>
      <c r="K9" s="24"/>
      <c r="L9" s="24"/>
      <c r="M9" s="24"/>
      <c r="N9" s="24"/>
      <c r="O9" s="24"/>
      <c r="P9" s="24"/>
      <c r="Q9" s="24"/>
      <c r="R9" s="26"/>
      <c r="S9" s="24"/>
      <c r="T9" s="24"/>
      <c r="U9" s="24"/>
      <c r="V9" s="24"/>
      <c r="W9" s="24"/>
      <c r="X9" s="27"/>
      <c r="Y9" s="26"/>
      <c r="Z9" s="24"/>
      <c r="AA9" s="24"/>
      <c r="AB9" s="24"/>
      <c r="AC9" s="24"/>
      <c r="AD9" s="24"/>
      <c r="AE9" s="27"/>
      <c r="AF9" s="26"/>
      <c r="AG9" s="24"/>
      <c r="AH9" s="24"/>
      <c r="AI9" s="24"/>
      <c r="AJ9" s="24"/>
      <c r="AK9" s="24"/>
      <c r="AL9" s="27"/>
      <c r="AM9" s="26"/>
      <c r="AN9" s="24"/>
      <c r="AO9" s="24"/>
      <c r="AP9" s="24"/>
      <c r="AQ9" s="24"/>
      <c r="AR9" s="24"/>
      <c r="AS9" s="27"/>
      <c r="AT9" s="26"/>
      <c r="AU9" s="24"/>
      <c r="AV9" s="24"/>
      <c r="AW9" s="24"/>
      <c r="AX9" s="24"/>
      <c r="AY9" s="24"/>
      <c r="AZ9" s="27"/>
      <c r="BA9" s="26"/>
      <c r="BB9" s="24"/>
      <c r="BC9" s="24"/>
      <c r="BD9" s="24"/>
      <c r="BE9" s="24"/>
      <c r="BF9" s="24"/>
      <c r="BG9" s="27"/>
      <c r="BH9" s="26"/>
      <c r="BI9" s="24"/>
      <c r="BJ9" s="24"/>
      <c r="BK9" s="24"/>
      <c r="BL9" s="24"/>
      <c r="BM9" s="24"/>
      <c r="BN9" s="27"/>
      <c r="BO9" s="26"/>
      <c r="BP9" s="24"/>
      <c r="BQ9" s="24"/>
      <c r="BR9" s="24"/>
      <c r="BS9" s="24"/>
      <c r="BT9" s="24"/>
      <c r="BU9" s="27"/>
      <c r="BV9" s="26"/>
      <c r="BW9" s="24"/>
      <c r="BX9" s="24"/>
      <c r="BY9" s="24"/>
      <c r="BZ9" s="24"/>
      <c r="CA9" s="24"/>
      <c r="CB9" s="27"/>
      <c r="CC9" s="26"/>
      <c r="CD9" s="24"/>
      <c r="CE9" s="24"/>
      <c r="CF9" s="24"/>
      <c r="CG9" s="24"/>
      <c r="CH9" s="24"/>
      <c r="CI9" s="27"/>
      <c r="CJ9" s="26"/>
      <c r="CK9" s="24"/>
      <c r="CL9" s="24"/>
      <c r="CM9" s="24"/>
      <c r="CN9" s="24"/>
      <c r="CO9" s="24"/>
      <c r="CP9" s="27"/>
      <c r="CQ9" s="26"/>
      <c r="CR9" s="24"/>
      <c r="CS9" s="27"/>
    </row>
    <row r="10" ht="14.25" customHeight="1">
      <c r="A10" s="28" t="s">
        <v>82</v>
      </c>
      <c r="B10" s="20"/>
      <c r="C10" s="20">
        <v>40.0</v>
      </c>
      <c r="D10" s="22" t="s">
        <v>83</v>
      </c>
      <c r="E10" s="23">
        <v>6.69910323E8</v>
      </c>
      <c r="F10" s="24"/>
      <c r="G10" s="24"/>
      <c r="H10" s="24"/>
      <c r="I10" s="24"/>
      <c r="J10" s="25"/>
      <c r="K10" s="24"/>
      <c r="L10" s="24"/>
      <c r="M10" s="24"/>
      <c r="N10" s="24"/>
      <c r="O10" s="24"/>
      <c r="P10" s="24"/>
      <c r="Q10" s="24"/>
      <c r="R10" s="26"/>
      <c r="S10" s="24"/>
      <c r="T10" s="24"/>
      <c r="U10" s="24"/>
      <c r="V10" s="24"/>
      <c r="W10" s="24"/>
      <c r="X10" s="27"/>
      <c r="Y10" s="26"/>
      <c r="Z10" s="24"/>
      <c r="AA10" s="24"/>
      <c r="AB10" s="24"/>
      <c r="AC10" s="24"/>
      <c r="AD10" s="24"/>
      <c r="AE10" s="27"/>
      <c r="AF10" s="26"/>
      <c r="AG10" s="24"/>
      <c r="AH10" s="24"/>
      <c r="AI10" s="24"/>
      <c r="AJ10" s="24"/>
      <c r="AK10" s="24"/>
      <c r="AL10" s="27"/>
      <c r="AM10" s="26"/>
      <c r="AN10" s="24"/>
      <c r="AO10" s="24"/>
      <c r="AP10" s="24"/>
      <c r="AQ10" s="24"/>
      <c r="AR10" s="24"/>
      <c r="AS10" s="27"/>
      <c r="AT10" s="26"/>
      <c r="AU10" s="24"/>
      <c r="AV10" s="24"/>
      <c r="AW10" s="24"/>
      <c r="AX10" s="24"/>
      <c r="AY10" s="24"/>
      <c r="AZ10" s="27"/>
      <c r="BA10" s="26"/>
      <c r="BB10" s="24"/>
      <c r="BC10" s="24"/>
      <c r="BD10" s="24"/>
      <c r="BE10" s="24"/>
      <c r="BF10" s="24"/>
      <c r="BG10" s="27"/>
      <c r="BH10" s="26"/>
      <c r="BI10" s="24"/>
      <c r="BJ10" s="24"/>
      <c r="BK10" s="24"/>
      <c r="BL10" s="24"/>
      <c r="BM10" s="24"/>
      <c r="BN10" s="27"/>
      <c r="BO10" s="26"/>
      <c r="BP10" s="24"/>
      <c r="BQ10" s="24"/>
      <c r="BR10" s="24"/>
      <c r="BS10" s="24"/>
      <c r="BT10" s="24"/>
      <c r="BU10" s="27"/>
      <c r="BV10" s="26"/>
      <c r="BW10" s="24"/>
      <c r="BX10" s="24"/>
      <c r="BY10" s="24"/>
      <c r="BZ10" s="24"/>
      <c r="CA10" s="24"/>
      <c r="CB10" s="27"/>
      <c r="CC10" s="26"/>
      <c r="CD10" s="24"/>
      <c r="CE10" s="24"/>
      <c r="CF10" s="24"/>
      <c r="CG10" s="24"/>
      <c r="CH10" s="24"/>
      <c r="CI10" s="27"/>
      <c r="CJ10" s="26"/>
      <c r="CK10" s="24"/>
      <c r="CL10" s="24"/>
      <c r="CM10" s="24"/>
      <c r="CN10" s="24"/>
      <c r="CO10" s="24"/>
      <c r="CP10" s="27"/>
      <c r="CQ10" s="26"/>
      <c r="CR10" s="24"/>
      <c r="CS10" s="27"/>
    </row>
    <row r="11" ht="14.25" customHeight="1">
      <c r="A11" s="28" t="s">
        <v>84</v>
      </c>
      <c r="B11" s="20"/>
      <c r="C11" s="20">
        <v>40.0</v>
      </c>
      <c r="D11" s="22" t="s">
        <v>85</v>
      </c>
      <c r="E11" s="23">
        <v>6.60956572E8</v>
      </c>
      <c r="F11" s="26"/>
      <c r="G11" s="24"/>
      <c r="H11" s="24"/>
      <c r="I11" s="24"/>
      <c r="J11" s="25"/>
      <c r="K11" s="24"/>
      <c r="L11" s="24"/>
      <c r="M11" s="24"/>
      <c r="N11" s="24"/>
      <c r="O11" s="24"/>
      <c r="P11" s="24"/>
      <c r="Q11" s="24"/>
      <c r="R11" s="26"/>
      <c r="S11" s="24"/>
      <c r="T11" s="24"/>
      <c r="U11" s="24"/>
      <c r="V11" s="24"/>
      <c r="W11" s="24"/>
      <c r="X11" s="27"/>
      <c r="Y11" s="26"/>
      <c r="Z11" s="24"/>
      <c r="AA11" s="24"/>
      <c r="AB11" s="24"/>
      <c r="AC11" s="24"/>
      <c r="AD11" s="24"/>
      <c r="AE11" s="27"/>
      <c r="AF11" s="26"/>
      <c r="AG11" s="24"/>
      <c r="AH11" s="24"/>
      <c r="AI11" s="24"/>
      <c r="AJ11" s="24"/>
      <c r="AK11" s="24"/>
      <c r="AL11" s="27"/>
      <c r="AM11" s="26"/>
      <c r="AN11" s="24"/>
      <c r="AO11" s="24"/>
      <c r="AP11" s="24"/>
      <c r="AQ11" s="24"/>
      <c r="AR11" s="24"/>
      <c r="AS11" s="27"/>
      <c r="AT11" s="26"/>
      <c r="AU11" s="24"/>
      <c r="AV11" s="24"/>
      <c r="AW11" s="24"/>
      <c r="AX11" s="24"/>
      <c r="AY11" s="24"/>
      <c r="AZ11" s="27"/>
      <c r="BA11" s="26"/>
      <c r="BB11" s="24"/>
      <c r="BC11" s="24"/>
      <c r="BD11" s="24"/>
      <c r="BE11" s="24"/>
      <c r="BF11" s="24"/>
      <c r="BG11" s="27"/>
      <c r="BH11" s="26"/>
      <c r="BI11" s="24"/>
      <c r="BJ11" s="24"/>
      <c r="BK11" s="24"/>
      <c r="BL11" s="24"/>
      <c r="BM11" s="24"/>
      <c r="BN11" s="27"/>
      <c r="BO11" s="26"/>
      <c r="BP11" s="24"/>
      <c r="BQ11" s="24"/>
      <c r="BR11" s="24"/>
      <c r="BS11" s="24"/>
      <c r="BT11" s="24"/>
      <c r="BU11" s="27"/>
      <c r="BV11" s="26"/>
      <c r="BW11" s="24"/>
      <c r="BX11" s="24"/>
      <c r="BY11" s="24"/>
      <c r="BZ11" s="24"/>
      <c r="CA11" s="24"/>
      <c r="CB11" s="27"/>
      <c r="CC11" s="26"/>
      <c r="CD11" s="24"/>
      <c r="CE11" s="24"/>
      <c r="CF11" s="24"/>
      <c r="CG11" s="24"/>
      <c r="CH11" s="24"/>
      <c r="CI11" s="27"/>
      <c r="CJ11" s="26"/>
      <c r="CK11" s="24"/>
      <c r="CL11" s="24"/>
      <c r="CM11" s="24"/>
      <c r="CN11" s="24"/>
      <c r="CO11" s="24"/>
      <c r="CP11" s="27"/>
      <c r="CQ11" s="26"/>
      <c r="CR11" s="24"/>
      <c r="CS11" s="27"/>
    </row>
    <row r="12" ht="14.25" customHeight="1">
      <c r="A12" s="28" t="s">
        <v>86</v>
      </c>
      <c r="B12" s="20"/>
      <c r="C12" s="20">
        <v>40.0</v>
      </c>
      <c r="D12" s="22" t="s">
        <v>87</v>
      </c>
      <c r="E12" s="23">
        <v>6.20482634E8</v>
      </c>
      <c r="F12" s="26"/>
      <c r="G12" s="24"/>
      <c r="H12" s="24"/>
      <c r="I12" s="24"/>
      <c r="J12" s="25"/>
      <c r="K12" s="24"/>
      <c r="L12" s="24"/>
      <c r="M12" s="24"/>
      <c r="N12" s="24"/>
      <c r="O12" s="24"/>
      <c r="P12" s="24"/>
      <c r="Q12" s="24"/>
      <c r="R12" s="26"/>
      <c r="S12" s="24"/>
      <c r="T12" s="24"/>
      <c r="U12" s="24"/>
      <c r="V12" s="24"/>
      <c r="W12" s="24"/>
      <c r="X12" s="27"/>
      <c r="Y12" s="26"/>
      <c r="Z12" s="24"/>
      <c r="AA12" s="24"/>
      <c r="AB12" s="24"/>
      <c r="AC12" s="24"/>
      <c r="AD12" s="24"/>
      <c r="AE12" s="27"/>
      <c r="AF12" s="26"/>
      <c r="AG12" s="24"/>
      <c r="AH12" s="24"/>
      <c r="AI12" s="24"/>
      <c r="AJ12" s="24"/>
      <c r="AK12" s="24"/>
      <c r="AL12" s="27"/>
      <c r="AM12" s="26"/>
      <c r="AN12" s="24"/>
      <c r="AO12" s="24"/>
      <c r="AP12" s="24"/>
      <c r="AQ12" s="24"/>
      <c r="AR12" s="24"/>
      <c r="AS12" s="27"/>
      <c r="AT12" s="26"/>
      <c r="AU12" s="24"/>
      <c r="AV12" s="24"/>
      <c r="AW12" s="24"/>
      <c r="AX12" s="24"/>
      <c r="AY12" s="24"/>
      <c r="AZ12" s="27"/>
      <c r="BA12" s="26"/>
      <c r="BB12" s="24"/>
      <c r="BC12" s="24"/>
      <c r="BD12" s="24"/>
      <c r="BE12" s="24"/>
      <c r="BF12" s="24"/>
      <c r="BG12" s="27"/>
      <c r="BH12" s="26"/>
      <c r="BI12" s="24"/>
      <c r="BJ12" s="24"/>
      <c r="BK12" s="24"/>
      <c r="BL12" s="24"/>
      <c r="BM12" s="24"/>
      <c r="BN12" s="27"/>
      <c r="BO12" s="26"/>
      <c r="BP12" s="24"/>
      <c r="BQ12" s="24"/>
      <c r="BR12" s="24"/>
      <c r="BS12" s="24"/>
      <c r="BT12" s="24"/>
      <c r="BU12" s="27"/>
      <c r="BV12" s="26"/>
      <c r="BW12" s="24"/>
      <c r="BX12" s="24"/>
      <c r="BY12" s="24"/>
      <c r="BZ12" s="24"/>
      <c r="CA12" s="24"/>
      <c r="CB12" s="27"/>
      <c r="CC12" s="26"/>
      <c r="CD12" s="24"/>
      <c r="CE12" s="24"/>
      <c r="CF12" s="24"/>
      <c r="CG12" s="24"/>
      <c r="CH12" s="24"/>
      <c r="CI12" s="27"/>
      <c r="CJ12" s="26"/>
      <c r="CK12" s="24"/>
      <c r="CL12" s="24"/>
      <c r="CM12" s="24"/>
      <c r="CN12" s="24"/>
      <c r="CO12" s="24"/>
      <c r="CP12" s="27"/>
      <c r="CQ12" s="26"/>
      <c r="CR12" s="24"/>
      <c r="CS12" s="27"/>
    </row>
    <row r="13" ht="14.25" customHeight="1">
      <c r="A13" s="31" t="s">
        <v>88</v>
      </c>
      <c r="B13" s="20"/>
      <c r="C13" s="20">
        <v>40.0</v>
      </c>
      <c r="D13" s="22" t="s">
        <v>89</v>
      </c>
      <c r="E13" s="23">
        <v>6.69748156E8</v>
      </c>
      <c r="F13" s="26"/>
      <c r="G13" s="24"/>
      <c r="H13" s="24"/>
      <c r="I13" s="24"/>
      <c r="J13" s="25"/>
      <c r="K13" s="24"/>
      <c r="L13" s="24"/>
      <c r="M13" s="24"/>
      <c r="N13" s="24"/>
      <c r="O13" s="24"/>
      <c r="P13" s="24"/>
      <c r="Q13" s="24"/>
      <c r="R13" s="26"/>
      <c r="S13" s="24"/>
      <c r="T13" s="24"/>
      <c r="U13" s="24"/>
      <c r="V13" s="24"/>
      <c r="W13" s="24"/>
      <c r="X13" s="27"/>
      <c r="Y13" s="26"/>
      <c r="Z13" s="24"/>
      <c r="AA13" s="24"/>
      <c r="AB13" s="24"/>
      <c r="AC13" s="24"/>
      <c r="AD13" s="24"/>
      <c r="AE13" s="27"/>
      <c r="AF13" s="26"/>
      <c r="AG13" s="24"/>
      <c r="AH13" s="24"/>
      <c r="AI13" s="24"/>
      <c r="AJ13" s="24"/>
      <c r="AK13" s="24"/>
      <c r="AL13" s="27"/>
      <c r="AM13" s="26"/>
      <c r="AN13" s="24"/>
      <c r="AO13" s="24"/>
      <c r="AP13" s="24"/>
      <c r="AQ13" s="24"/>
      <c r="AR13" s="24"/>
      <c r="AS13" s="27"/>
      <c r="AT13" s="26"/>
      <c r="AU13" s="24"/>
      <c r="AV13" s="24"/>
      <c r="AW13" s="24"/>
      <c r="AX13" s="24"/>
      <c r="AY13" s="24"/>
      <c r="AZ13" s="27"/>
      <c r="BA13" s="26"/>
      <c r="BB13" s="24"/>
      <c r="BC13" s="24"/>
      <c r="BD13" s="24"/>
      <c r="BE13" s="24"/>
      <c r="BF13" s="24"/>
      <c r="BG13" s="27"/>
      <c r="BH13" s="26"/>
      <c r="BI13" s="24"/>
      <c r="BJ13" s="24"/>
      <c r="BK13" s="24"/>
      <c r="BL13" s="24"/>
      <c r="BM13" s="24"/>
      <c r="BN13" s="27"/>
      <c r="BO13" s="26"/>
      <c r="BP13" s="24"/>
      <c r="BQ13" s="24"/>
      <c r="BR13" s="24"/>
      <c r="BS13" s="24"/>
      <c r="BT13" s="24"/>
      <c r="BU13" s="27"/>
      <c r="BV13" s="26"/>
      <c r="BW13" s="24"/>
      <c r="BX13" s="24"/>
      <c r="BY13" s="24"/>
      <c r="BZ13" s="24"/>
      <c r="CA13" s="24"/>
      <c r="CB13" s="27"/>
      <c r="CC13" s="26"/>
      <c r="CD13" s="24"/>
      <c r="CE13" s="24"/>
      <c r="CF13" s="24"/>
      <c r="CG13" s="24"/>
      <c r="CH13" s="24"/>
      <c r="CI13" s="27"/>
      <c r="CJ13" s="26"/>
      <c r="CK13" s="24"/>
      <c r="CL13" s="24"/>
      <c r="CM13" s="24"/>
      <c r="CN13" s="24"/>
      <c r="CO13" s="24"/>
      <c r="CP13" s="27"/>
      <c r="CQ13" s="26"/>
      <c r="CR13" s="24"/>
      <c r="CS13" s="27"/>
    </row>
    <row r="14" ht="14.25" customHeight="1">
      <c r="A14" s="31" t="s">
        <v>90</v>
      </c>
      <c r="B14" s="20"/>
      <c r="C14" s="20">
        <v>40.0</v>
      </c>
      <c r="D14" s="22" t="s">
        <v>91</v>
      </c>
      <c r="E14" s="23">
        <v>6.89765147E8</v>
      </c>
      <c r="F14" s="26"/>
      <c r="G14" s="24"/>
      <c r="H14" s="24"/>
      <c r="I14" s="24"/>
      <c r="J14" s="25"/>
      <c r="K14" s="24"/>
      <c r="L14" s="24"/>
      <c r="M14" s="24"/>
      <c r="N14" s="24"/>
      <c r="O14" s="24"/>
      <c r="P14" s="24"/>
      <c r="Q14" s="24"/>
      <c r="R14" s="26"/>
      <c r="S14" s="24"/>
      <c r="T14" s="24"/>
      <c r="U14" s="24"/>
      <c r="V14" s="24"/>
      <c r="W14" s="24"/>
      <c r="X14" s="27"/>
      <c r="Y14" s="26"/>
      <c r="Z14" s="24"/>
      <c r="AA14" s="24"/>
      <c r="AB14" s="24"/>
      <c r="AC14" s="24"/>
      <c r="AD14" s="24"/>
      <c r="AE14" s="27"/>
      <c r="AF14" s="26"/>
      <c r="AG14" s="24"/>
      <c r="AH14" s="24"/>
      <c r="AI14" s="24"/>
      <c r="AJ14" s="24"/>
      <c r="AK14" s="24"/>
      <c r="AL14" s="27"/>
      <c r="AM14" s="26"/>
      <c r="AN14" s="24"/>
      <c r="AO14" s="24"/>
      <c r="AP14" s="24"/>
      <c r="AQ14" s="24"/>
      <c r="AR14" s="24"/>
      <c r="AS14" s="27"/>
      <c r="AT14" s="26"/>
      <c r="AU14" s="24"/>
      <c r="AV14" s="24"/>
      <c r="AW14" s="24"/>
      <c r="AX14" s="24"/>
      <c r="AY14" s="24"/>
      <c r="AZ14" s="27"/>
      <c r="BA14" s="26"/>
      <c r="BB14" s="24"/>
      <c r="BC14" s="24"/>
      <c r="BD14" s="24"/>
      <c r="BE14" s="24"/>
      <c r="BF14" s="24"/>
      <c r="BG14" s="27"/>
      <c r="BH14" s="26"/>
      <c r="BI14" s="24"/>
      <c r="BJ14" s="24"/>
      <c r="BK14" s="24"/>
      <c r="BL14" s="24"/>
      <c r="BM14" s="24"/>
      <c r="BN14" s="27"/>
      <c r="BO14" s="26"/>
      <c r="BP14" s="24"/>
      <c r="BQ14" s="24"/>
      <c r="BR14" s="24"/>
      <c r="BS14" s="24"/>
      <c r="BT14" s="24"/>
      <c r="BU14" s="27"/>
      <c r="BV14" s="26"/>
      <c r="BW14" s="24"/>
      <c r="BX14" s="24"/>
      <c r="BY14" s="24"/>
      <c r="BZ14" s="24"/>
      <c r="CA14" s="24"/>
      <c r="CB14" s="27"/>
      <c r="CC14" s="26"/>
      <c r="CD14" s="24"/>
      <c r="CE14" s="24"/>
      <c r="CF14" s="24"/>
      <c r="CG14" s="24"/>
      <c r="CH14" s="24"/>
      <c r="CI14" s="27"/>
      <c r="CJ14" s="26"/>
      <c r="CK14" s="24"/>
      <c r="CL14" s="24"/>
      <c r="CM14" s="24"/>
      <c r="CN14" s="24"/>
      <c r="CO14" s="24"/>
      <c r="CP14" s="27"/>
      <c r="CQ14" s="26"/>
      <c r="CR14" s="24"/>
      <c r="CS14" s="27"/>
    </row>
    <row r="15" ht="14.25" customHeight="1">
      <c r="A15" s="19" t="s">
        <v>92</v>
      </c>
      <c r="B15" s="20"/>
      <c r="C15" s="20">
        <v>40.0</v>
      </c>
      <c r="D15" s="22" t="s">
        <v>93</v>
      </c>
      <c r="E15" s="23">
        <v>6.69069016E8</v>
      </c>
      <c r="F15" s="26"/>
      <c r="G15" s="24"/>
      <c r="H15" s="24"/>
      <c r="I15" s="24"/>
      <c r="J15" s="25"/>
      <c r="K15" s="24"/>
      <c r="L15" s="24"/>
      <c r="M15" s="24"/>
      <c r="N15" s="24"/>
      <c r="O15" s="24"/>
      <c r="P15" s="24"/>
      <c r="Q15" s="24"/>
      <c r="R15" s="26"/>
      <c r="S15" s="24"/>
      <c r="T15" s="24"/>
      <c r="U15" s="24"/>
      <c r="V15" s="24"/>
      <c r="W15" s="24"/>
      <c r="X15" s="27"/>
      <c r="Y15" s="26"/>
      <c r="Z15" s="24"/>
      <c r="AA15" s="24"/>
      <c r="AB15" s="24"/>
      <c r="AC15" s="24"/>
      <c r="AD15" s="24"/>
      <c r="AE15" s="27"/>
      <c r="AF15" s="26"/>
      <c r="AG15" s="24"/>
      <c r="AH15" s="24"/>
      <c r="AI15" s="24"/>
      <c r="AJ15" s="24"/>
      <c r="AK15" s="24"/>
      <c r="AL15" s="27"/>
      <c r="AM15" s="26"/>
      <c r="AN15" s="24"/>
      <c r="AO15" s="24"/>
      <c r="AP15" s="24"/>
      <c r="AQ15" s="24"/>
      <c r="AR15" s="24"/>
      <c r="AS15" s="27"/>
      <c r="AT15" s="26"/>
      <c r="AU15" s="24"/>
      <c r="AV15" s="24"/>
      <c r="AW15" s="24"/>
      <c r="AX15" s="24"/>
      <c r="AY15" s="24"/>
      <c r="AZ15" s="27"/>
      <c r="BA15" s="26"/>
      <c r="BB15" s="24"/>
      <c r="BC15" s="24"/>
      <c r="BD15" s="24"/>
      <c r="BE15" s="24"/>
      <c r="BF15" s="24"/>
      <c r="BG15" s="27"/>
      <c r="BH15" s="26"/>
      <c r="BI15" s="24"/>
      <c r="BJ15" s="24"/>
      <c r="BK15" s="24"/>
      <c r="BL15" s="24"/>
      <c r="BM15" s="24"/>
      <c r="BN15" s="27"/>
      <c r="BO15" s="26"/>
      <c r="BP15" s="24"/>
      <c r="BQ15" s="24"/>
      <c r="BR15" s="24"/>
      <c r="BS15" s="24"/>
      <c r="BT15" s="24"/>
      <c r="BU15" s="27"/>
      <c r="BV15" s="26"/>
      <c r="BW15" s="24"/>
      <c r="BX15" s="24"/>
      <c r="BY15" s="24"/>
      <c r="BZ15" s="24"/>
      <c r="CA15" s="24"/>
      <c r="CB15" s="27"/>
      <c r="CC15" s="26"/>
      <c r="CD15" s="24"/>
      <c r="CE15" s="24"/>
      <c r="CF15" s="24"/>
      <c r="CG15" s="24"/>
      <c r="CH15" s="24"/>
      <c r="CI15" s="27"/>
      <c r="CJ15" s="26"/>
      <c r="CK15" s="24"/>
      <c r="CL15" s="24"/>
      <c r="CM15" s="24"/>
      <c r="CN15" s="24"/>
      <c r="CO15" s="24"/>
      <c r="CP15" s="27"/>
      <c r="CQ15" s="26"/>
      <c r="CR15" s="24"/>
      <c r="CS15" s="27"/>
    </row>
    <row r="16" ht="14.25" customHeight="1">
      <c r="A16" s="19" t="s">
        <v>94</v>
      </c>
      <c r="B16" s="20"/>
      <c r="C16" s="20">
        <v>40.0</v>
      </c>
      <c r="D16" s="22" t="s">
        <v>95</v>
      </c>
      <c r="E16" s="23">
        <v>6.04216203E8</v>
      </c>
      <c r="F16" s="24"/>
      <c r="G16" s="24"/>
      <c r="H16" s="24"/>
      <c r="I16" s="24"/>
      <c r="J16" s="25"/>
      <c r="K16" s="24"/>
      <c r="L16" s="24"/>
      <c r="M16" s="24"/>
      <c r="N16" s="24"/>
      <c r="O16" s="24"/>
      <c r="P16" s="24"/>
      <c r="Q16" s="27"/>
      <c r="R16" s="26"/>
      <c r="S16" s="24"/>
      <c r="T16" s="24"/>
      <c r="U16" s="24"/>
      <c r="V16" s="24"/>
      <c r="W16" s="24"/>
      <c r="X16" s="27"/>
      <c r="Y16" s="26"/>
      <c r="Z16" s="24"/>
      <c r="AA16" s="24"/>
      <c r="AB16" s="24"/>
      <c r="AC16" s="24"/>
      <c r="AD16" s="24"/>
      <c r="AE16" s="27"/>
      <c r="AF16" s="26"/>
      <c r="AG16" s="24"/>
      <c r="AH16" s="24"/>
      <c r="AI16" s="24"/>
      <c r="AJ16" s="24"/>
      <c r="AK16" s="24"/>
      <c r="AL16" s="27"/>
      <c r="AM16" s="26"/>
      <c r="AN16" s="24"/>
      <c r="AO16" s="24"/>
      <c r="AP16" s="24"/>
      <c r="AQ16" s="24"/>
      <c r="AR16" s="24"/>
      <c r="AS16" s="27"/>
      <c r="AT16" s="26"/>
      <c r="AU16" s="24"/>
      <c r="AV16" s="24"/>
      <c r="AW16" s="24"/>
      <c r="AX16" s="24"/>
      <c r="AY16" s="24"/>
      <c r="AZ16" s="27"/>
      <c r="BA16" s="26"/>
      <c r="BB16" s="24"/>
      <c r="BC16" s="24"/>
      <c r="BD16" s="24"/>
      <c r="BE16" s="24"/>
      <c r="BF16" s="24"/>
      <c r="BG16" s="27"/>
      <c r="BH16" s="26"/>
      <c r="BI16" s="24"/>
      <c r="BJ16" s="24"/>
      <c r="BK16" s="24"/>
      <c r="BL16" s="24"/>
      <c r="BM16" s="24"/>
      <c r="BN16" s="27"/>
      <c r="BO16" s="26"/>
      <c r="BP16" s="24"/>
      <c r="BQ16" s="24"/>
      <c r="BR16" s="24"/>
      <c r="BS16" s="24"/>
      <c r="BT16" s="24"/>
      <c r="BU16" s="27"/>
      <c r="BV16" s="26"/>
      <c r="BW16" s="24"/>
      <c r="BX16" s="24"/>
      <c r="BY16" s="24"/>
      <c r="BZ16" s="24"/>
      <c r="CA16" s="24"/>
      <c r="CB16" s="27"/>
      <c r="CC16" s="26"/>
      <c r="CD16" s="24"/>
      <c r="CE16" s="24"/>
      <c r="CF16" s="24"/>
      <c r="CG16" s="24"/>
      <c r="CH16" s="24"/>
      <c r="CI16" s="27"/>
      <c r="CJ16" s="26"/>
      <c r="CK16" s="24"/>
      <c r="CL16" s="24"/>
      <c r="CM16" s="24"/>
      <c r="CN16" s="24"/>
      <c r="CO16" s="24"/>
      <c r="CP16" s="27"/>
      <c r="CQ16" s="26"/>
      <c r="CR16" s="24"/>
      <c r="CS16" s="27"/>
    </row>
    <row r="17" ht="14.25" customHeight="1">
      <c r="A17" s="19" t="s">
        <v>96</v>
      </c>
      <c r="B17" s="20"/>
      <c r="C17" s="20">
        <v>40.0</v>
      </c>
      <c r="D17" s="22" t="s">
        <v>97</v>
      </c>
      <c r="E17" s="23">
        <v>6.3661723E8</v>
      </c>
      <c r="F17" s="24"/>
      <c r="G17" s="24"/>
      <c r="H17" s="24"/>
      <c r="I17" s="24"/>
      <c r="J17" s="25"/>
      <c r="K17" s="24"/>
      <c r="L17" s="24"/>
      <c r="M17" s="24"/>
      <c r="N17" s="24"/>
      <c r="O17" s="24"/>
      <c r="P17" s="24"/>
      <c r="Q17" s="27"/>
      <c r="R17" s="26"/>
      <c r="S17" s="24"/>
      <c r="T17" s="24"/>
      <c r="U17" s="24"/>
      <c r="V17" s="24"/>
      <c r="W17" s="24"/>
      <c r="X17" s="27"/>
      <c r="Y17" s="26"/>
      <c r="Z17" s="24"/>
      <c r="AA17" s="24"/>
      <c r="AB17" s="24"/>
      <c r="AC17" s="24"/>
      <c r="AD17" s="24"/>
      <c r="AE17" s="27"/>
      <c r="AF17" s="26"/>
      <c r="AG17" s="24"/>
      <c r="AH17" s="24"/>
      <c r="AI17" s="24"/>
      <c r="AJ17" s="24"/>
      <c r="AK17" s="24"/>
      <c r="AL17" s="27"/>
      <c r="AM17" s="26"/>
      <c r="AN17" s="24"/>
      <c r="AO17" s="24"/>
      <c r="AP17" s="24"/>
      <c r="AQ17" s="24"/>
      <c r="AR17" s="24"/>
      <c r="AS17" s="27"/>
      <c r="AT17" s="26"/>
      <c r="AU17" s="24"/>
      <c r="AV17" s="24"/>
      <c r="AW17" s="24"/>
      <c r="AX17" s="24"/>
      <c r="AY17" s="24"/>
      <c r="AZ17" s="27"/>
      <c r="BA17" s="26"/>
      <c r="BB17" s="24"/>
      <c r="BC17" s="24"/>
      <c r="BD17" s="24"/>
      <c r="BE17" s="24"/>
      <c r="BF17" s="24"/>
      <c r="BG17" s="27"/>
      <c r="BH17" s="26"/>
      <c r="BI17" s="24"/>
      <c r="BJ17" s="24"/>
      <c r="BK17" s="24"/>
      <c r="BL17" s="24"/>
      <c r="BM17" s="24"/>
      <c r="BN17" s="27"/>
      <c r="BO17" s="26"/>
      <c r="BP17" s="24"/>
      <c r="BQ17" s="24"/>
      <c r="BR17" s="24"/>
      <c r="BS17" s="24"/>
      <c r="BT17" s="24"/>
      <c r="BU17" s="27"/>
      <c r="BV17" s="26"/>
      <c r="BW17" s="24"/>
      <c r="BX17" s="24"/>
      <c r="BY17" s="24"/>
      <c r="BZ17" s="24"/>
      <c r="CA17" s="24"/>
      <c r="CB17" s="27"/>
      <c r="CC17" s="26"/>
      <c r="CD17" s="24"/>
      <c r="CE17" s="24"/>
      <c r="CF17" s="24"/>
      <c r="CG17" s="24"/>
      <c r="CH17" s="24"/>
      <c r="CI17" s="27"/>
      <c r="CJ17" s="26"/>
      <c r="CK17" s="24"/>
      <c r="CL17" s="24"/>
      <c r="CM17" s="24"/>
      <c r="CN17" s="24"/>
      <c r="CO17" s="24"/>
      <c r="CP17" s="27"/>
      <c r="CQ17" s="26"/>
      <c r="CR17" s="24"/>
      <c r="CS17" s="27"/>
    </row>
    <row r="18" ht="14.25" customHeight="1">
      <c r="A18" s="19" t="s">
        <v>98</v>
      </c>
      <c r="B18" s="20"/>
      <c r="C18" s="20">
        <v>40.0</v>
      </c>
      <c r="D18" s="22" t="s">
        <v>99</v>
      </c>
      <c r="E18" s="23">
        <v>6.8082097E8</v>
      </c>
      <c r="F18" s="24"/>
      <c r="G18" s="24"/>
      <c r="H18" s="24"/>
      <c r="I18" s="24"/>
      <c r="J18" s="25"/>
      <c r="K18" s="24"/>
      <c r="L18" s="24"/>
      <c r="M18" s="24"/>
      <c r="N18" s="24"/>
      <c r="O18" s="24"/>
      <c r="P18" s="24"/>
      <c r="Q18" s="27"/>
      <c r="R18" s="26"/>
      <c r="S18" s="24"/>
      <c r="T18" s="24"/>
      <c r="U18" s="24"/>
      <c r="V18" s="24"/>
      <c r="W18" s="24"/>
      <c r="X18" s="27"/>
      <c r="Y18" s="26"/>
      <c r="Z18" s="24"/>
      <c r="AA18" s="24"/>
      <c r="AB18" s="24"/>
      <c r="AC18" s="24"/>
      <c r="AD18" s="24"/>
      <c r="AE18" s="27"/>
      <c r="AF18" s="26"/>
      <c r="AG18" s="24"/>
      <c r="AH18" s="24"/>
      <c r="AI18" s="24"/>
      <c r="AJ18" s="24"/>
      <c r="AK18" s="24"/>
      <c r="AL18" s="27"/>
      <c r="AM18" s="26"/>
      <c r="AN18" s="24"/>
      <c r="AO18" s="24"/>
      <c r="AP18" s="24"/>
      <c r="AQ18" s="24"/>
      <c r="AR18" s="24"/>
      <c r="AS18" s="27"/>
      <c r="AT18" s="26"/>
      <c r="AU18" s="24"/>
      <c r="AV18" s="24"/>
      <c r="AW18" s="24"/>
      <c r="AX18" s="24"/>
      <c r="AY18" s="24"/>
      <c r="AZ18" s="27"/>
      <c r="BA18" s="26"/>
      <c r="BB18" s="24"/>
      <c r="BC18" s="24"/>
      <c r="BD18" s="24"/>
      <c r="BE18" s="24"/>
      <c r="BF18" s="24"/>
      <c r="BG18" s="27"/>
      <c r="BH18" s="26"/>
      <c r="BI18" s="24"/>
      <c r="BJ18" s="24"/>
      <c r="BK18" s="24"/>
      <c r="BL18" s="24"/>
      <c r="BM18" s="24"/>
      <c r="BN18" s="27"/>
      <c r="BO18" s="26"/>
      <c r="BP18" s="24"/>
      <c r="BQ18" s="24"/>
      <c r="BR18" s="24"/>
      <c r="BS18" s="24"/>
      <c r="BT18" s="24"/>
      <c r="BU18" s="27"/>
      <c r="BV18" s="26"/>
      <c r="BW18" s="24"/>
      <c r="BX18" s="24"/>
      <c r="BY18" s="24"/>
      <c r="BZ18" s="24"/>
      <c r="CA18" s="24"/>
      <c r="CB18" s="27"/>
      <c r="CC18" s="26"/>
      <c r="CD18" s="24"/>
      <c r="CE18" s="24"/>
      <c r="CF18" s="24"/>
      <c r="CG18" s="24"/>
      <c r="CH18" s="24"/>
      <c r="CI18" s="27"/>
      <c r="CJ18" s="26"/>
      <c r="CK18" s="24"/>
      <c r="CL18" s="24"/>
      <c r="CM18" s="24"/>
      <c r="CN18" s="24"/>
      <c r="CO18" s="24"/>
      <c r="CP18" s="27"/>
      <c r="CQ18" s="26"/>
      <c r="CR18" s="24"/>
      <c r="CS18" s="27"/>
    </row>
    <row r="19" ht="14.25" customHeight="1">
      <c r="A19" s="32"/>
      <c r="B19" s="20"/>
      <c r="C19" s="20">
        <v>40.0</v>
      </c>
      <c r="D19" s="22"/>
      <c r="E19" s="23">
        <v>6.60956572E8</v>
      </c>
      <c r="F19" s="24"/>
      <c r="G19" s="24"/>
      <c r="H19" s="24"/>
      <c r="I19" s="24"/>
      <c r="J19" s="25"/>
      <c r="K19" s="24"/>
      <c r="L19" s="24"/>
      <c r="M19" s="24"/>
      <c r="N19" s="24"/>
      <c r="O19" s="24"/>
      <c r="P19" s="24"/>
      <c r="Q19" s="27"/>
      <c r="R19" s="26"/>
      <c r="S19" s="24"/>
      <c r="T19" s="24"/>
      <c r="U19" s="24"/>
      <c r="V19" s="24"/>
      <c r="W19" s="24"/>
      <c r="X19" s="27"/>
      <c r="Y19" s="26"/>
      <c r="Z19" s="24"/>
      <c r="AA19" s="24"/>
      <c r="AB19" s="24"/>
      <c r="AC19" s="24"/>
      <c r="AD19" s="24"/>
      <c r="AE19" s="27"/>
      <c r="AF19" s="26"/>
      <c r="AG19" s="24"/>
      <c r="AH19" s="24"/>
      <c r="AI19" s="24"/>
      <c r="AJ19" s="24"/>
      <c r="AK19" s="24"/>
      <c r="AL19" s="27"/>
      <c r="AM19" s="26"/>
      <c r="AN19" s="24"/>
      <c r="AO19" s="24"/>
      <c r="AP19" s="24"/>
      <c r="AQ19" s="24"/>
      <c r="AR19" s="24"/>
      <c r="AS19" s="27"/>
      <c r="AT19" s="26"/>
      <c r="AU19" s="24"/>
      <c r="AV19" s="24"/>
      <c r="AW19" s="24"/>
      <c r="AX19" s="24"/>
      <c r="AY19" s="24"/>
      <c r="AZ19" s="27"/>
      <c r="BA19" s="26"/>
      <c r="BB19" s="24"/>
      <c r="BC19" s="24"/>
      <c r="BD19" s="24"/>
      <c r="BE19" s="24"/>
      <c r="BF19" s="24"/>
      <c r="BG19" s="27"/>
      <c r="BH19" s="26"/>
      <c r="BI19" s="24"/>
      <c r="BJ19" s="24"/>
      <c r="BK19" s="24"/>
      <c r="BL19" s="24"/>
      <c r="BM19" s="24"/>
      <c r="BN19" s="27"/>
      <c r="BO19" s="26"/>
      <c r="BP19" s="24"/>
      <c r="BQ19" s="24"/>
      <c r="BR19" s="24"/>
      <c r="BS19" s="24"/>
      <c r="BT19" s="24"/>
      <c r="BU19" s="27"/>
      <c r="BV19" s="26"/>
      <c r="BW19" s="24"/>
      <c r="BX19" s="24"/>
      <c r="BY19" s="24"/>
      <c r="BZ19" s="24"/>
      <c r="CA19" s="24"/>
      <c r="CB19" s="27"/>
      <c r="CC19" s="26"/>
      <c r="CD19" s="24"/>
      <c r="CE19" s="24"/>
      <c r="CF19" s="24"/>
      <c r="CG19" s="24"/>
      <c r="CH19" s="24"/>
      <c r="CI19" s="27"/>
      <c r="CJ19" s="26"/>
      <c r="CK19" s="24"/>
      <c r="CL19" s="24"/>
      <c r="CM19" s="24"/>
      <c r="CN19" s="24"/>
      <c r="CO19" s="24"/>
      <c r="CP19" s="27"/>
      <c r="CQ19" s="26"/>
      <c r="CR19" s="24"/>
      <c r="CS19" s="27"/>
    </row>
    <row r="20" ht="14.25" customHeight="1">
      <c r="A20" s="32"/>
      <c r="B20" s="20"/>
      <c r="C20" s="20">
        <v>40.0</v>
      </c>
      <c r="D20" s="22"/>
      <c r="E20" s="23">
        <v>6.79755778E8</v>
      </c>
      <c r="F20" s="24"/>
      <c r="G20" s="24"/>
      <c r="H20" s="24"/>
      <c r="I20" s="24"/>
      <c r="J20" s="25"/>
      <c r="K20" s="24"/>
      <c r="L20" s="24"/>
      <c r="M20" s="24"/>
      <c r="N20" s="24"/>
      <c r="O20" s="24"/>
      <c r="P20" s="24"/>
      <c r="Q20" s="24"/>
      <c r="R20" s="26"/>
      <c r="S20" s="24"/>
      <c r="T20" s="24"/>
      <c r="U20" s="24"/>
      <c r="V20" s="24"/>
      <c r="W20" s="24"/>
      <c r="X20" s="27"/>
      <c r="Y20" s="26"/>
      <c r="Z20" s="24"/>
      <c r="AA20" s="24"/>
      <c r="AB20" s="24"/>
      <c r="AC20" s="24"/>
      <c r="AD20" s="24"/>
      <c r="AE20" s="27"/>
      <c r="AF20" s="26"/>
      <c r="AG20" s="24"/>
      <c r="AH20" s="24"/>
      <c r="AI20" s="24"/>
      <c r="AJ20" s="24"/>
      <c r="AK20" s="24"/>
      <c r="AL20" s="27"/>
      <c r="AM20" s="26"/>
      <c r="AN20" s="24"/>
      <c r="AO20" s="24"/>
      <c r="AP20" s="24"/>
      <c r="AQ20" s="24"/>
      <c r="AR20" s="24"/>
      <c r="AS20" s="27"/>
      <c r="AT20" s="26"/>
      <c r="AU20" s="24"/>
      <c r="AV20" s="24"/>
      <c r="AW20" s="24"/>
      <c r="AX20" s="24"/>
      <c r="AY20" s="24"/>
      <c r="AZ20" s="27"/>
      <c r="BA20" s="26"/>
      <c r="BB20" s="24"/>
      <c r="BC20" s="24"/>
      <c r="BD20" s="24"/>
      <c r="BE20" s="24"/>
      <c r="BF20" s="24"/>
      <c r="BG20" s="27"/>
      <c r="BH20" s="26"/>
      <c r="BI20" s="24"/>
      <c r="BJ20" s="24"/>
      <c r="BK20" s="24"/>
      <c r="BL20" s="24"/>
      <c r="BM20" s="24"/>
      <c r="BN20" s="27"/>
      <c r="BO20" s="26"/>
      <c r="BP20" s="24"/>
      <c r="BQ20" s="24"/>
      <c r="BR20" s="24"/>
      <c r="BS20" s="24"/>
      <c r="BT20" s="24"/>
      <c r="BU20" s="27"/>
      <c r="BV20" s="26"/>
      <c r="BW20" s="24"/>
      <c r="BX20" s="24"/>
      <c r="BY20" s="24"/>
      <c r="BZ20" s="24"/>
      <c r="CA20" s="24"/>
      <c r="CB20" s="27"/>
      <c r="CC20" s="26"/>
      <c r="CD20" s="24"/>
      <c r="CE20" s="24"/>
      <c r="CF20" s="24"/>
      <c r="CG20" s="24"/>
      <c r="CH20" s="24"/>
      <c r="CI20" s="27"/>
      <c r="CJ20" s="26"/>
      <c r="CK20" s="24"/>
      <c r="CL20" s="24"/>
      <c r="CM20" s="24"/>
      <c r="CN20" s="24"/>
      <c r="CO20" s="24"/>
      <c r="CP20" s="27"/>
      <c r="CQ20" s="26"/>
      <c r="CR20" s="24"/>
      <c r="CS20" s="27"/>
    </row>
    <row r="21" ht="14.25" customHeight="1">
      <c r="A21" s="32"/>
      <c r="B21" s="20"/>
      <c r="C21" s="20">
        <v>40.0</v>
      </c>
      <c r="D21" s="22"/>
      <c r="E21" s="23">
        <v>6.49829706E8</v>
      </c>
      <c r="F21" s="26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6"/>
      <c r="S21" s="24"/>
      <c r="T21" s="24"/>
      <c r="U21" s="24"/>
      <c r="V21" s="24"/>
      <c r="W21" s="24"/>
      <c r="X21" s="27"/>
      <c r="Y21" s="26"/>
      <c r="Z21" s="24"/>
      <c r="AA21" s="24"/>
      <c r="AB21" s="24"/>
      <c r="AC21" s="24"/>
      <c r="AD21" s="24"/>
      <c r="AE21" s="27"/>
      <c r="AF21" s="26"/>
      <c r="AG21" s="24"/>
      <c r="AH21" s="24"/>
      <c r="AI21" s="24"/>
      <c r="AJ21" s="24"/>
      <c r="AK21" s="24"/>
      <c r="AL21" s="27"/>
      <c r="AM21" s="26"/>
      <c r="AN21" s="24"/>
      <c r="AO21" s="24"/>
      <c r="AP21" s="24"/>
      <c r="AQ21" s="24"/>
      <c r="AR21" s="24"/>
      <c r="AS21" s="27"/>
      <c r="AT21" s="26"/>
      <c r="AU21" s="24"/>
      <c r="AV21" s="24"/>
      <c r="AW21" s="24"/>
      <c r="AX21" s="24"/>
      <c r="AY21" s="24"/>
      <c r="AZ21" s="27"/>
      <c r="BA21" s="26"/>
      <c r="BB21" s="24"/>
      <c r="BC21" s="24"/>
      <c r="BD21" s="24"/>
      <c r="BE21" s="24"/>
      <c r="BF21" s="24"/>
      <c r="BG21" s="27"/>
      <c r="BH21" s="26"/>
      <c r="BI21" s="24"/>
      <c r="BJ21" s="24"/>
      <c r="BK21" s="24"/>
      <c r="BL21" s="24"/>
      <c r="BM21" s="24"/>
      <c r="BN21" s="27"/>
      <c r="BO21" s="26"/>
      <c r="BP21" s="24"/>
      <c r="BQ21" s="24"/>
      <c r="BR21" s="24"/>
      <c r="BS21" s="24"/>
      <c r="BT21" s="24"/>
      <c r="BU21" s="27"/>
      <c r="BV21" s="26"/>
      <c r="BW21" s="24"/>
      <c r="BX21" s="24"/>
      <c r="BY21" s="24"/>
      <c r="BZ21" s="24"/>
      <c r="CA21" s="24"/>
      <c r="CB21" s="27"/>
      <c r="CC21" s="26"/>
      <c r="CD21" s="24"/>
      <c r="CE21" s="24"/>
      <c r="CF21" s="24"/>
      <c r="CG21" s="24"/>
      <c r="CH21" s="24"/>
      <c r="CI21" s="27"/>
      <c r="CJ21" s="26"/>
      <c r="CK21" s="24"/>
      <c r="CL21" s="24"/>
      <c r="CM21" s="24"/>
      <c r="CN21" s="24"/>
      <c r="CO21" s="24"/>
      <c r="CP21" s="27"/>
      <c r="CQ21" s="26"/>
      <c r="CR21" s="24"/>
      <c r="CS21" s="27"/>
    </row>
    <row r="22" ht="14.25" customHeight="1">
      <c r="A22" s="32"/>
      <c r="B22" s="20"/>
      <c r="C22" s="20">
        <v>40.0</v>
      </c>
      <c r="D22" s="22"/>
      <c r="E22" s="23">
        <v>6.76986157E8</v>
      </c>
      <c r="F22" s="26"/>
      <c r="G22" s="24"/>
      <c r="H22" s="24"/>
      <c r="I22" s="24"/>
      <c r="J22" s="25"/>
      <c r="K22" s="24"/>
      <c r="L22" s="24"/>
      <c r="M22" s="24"/>
      <c r="N22" s="24"/>
      <c r="O22" s="24"/>
      <c r="P22" s="24"/>
      <c r="Q22" s="24"/>
      <c r="R22" s="26"/>
      <c r="S22" s="24"/>
      <c r="T22" s="24"/>
      <c r="U22" s="24"/>
      <c r="V22" s="24"/>
      <c r="W22" s="24"/>
      <c r="X22" s="27"/>
      <c r="Y22" s="26"/>
      <c r="Z22" s="24"/>
      <c r="AA22" s="24"/>
      <c r="AB22" s="24"/>
      <c r="AC22" s="24"/>
      <c r="AD22" s="24"/>
      <c r="AE22" s="27"/>
      <c r="AF22" s="26"/>
      <c r="AG22" s="24"/>
      <c r="AH22" s="24"/>
      <c r="AI22" s="24"/>
      <c r="AJ22" s="24"/>
      <c r="AK22" s="24"/>
      <c r="AL22" s="27"/>
      <c r="AM22" s="26"/>
      <c r="AN22" s="24"/>
      <c r="AO22" s="24"/>
      <c r="AP22" s="24"/>
      <c r="AQ22" s="24"/>
      <c r="AR22" s="24"/>
      <c r="AS22" s="27"/>
      <c r="AT22" s="26"/>
      <c r="AU22" s="24"/>
      <c r="AV22" s="24"/>
      <c r="AW22" s="24"/>
      <c r="AX22" s="24"/>
      <c r="AY22" s="24"/>
      <c r="AZ22" s="27"/>
      <c r="BA22" s="26"/>
      <c r="BB22" s="24"/>
      <c r="BC22" s="24"/>
      <c r="BD22" s="24"/>
      <c r="BE22" s="24"/>
      <c r="BF22" s="24"/>
      <c r="BG22" s="27"/>
      <c r="BH22" s="26"/>
      <c r="BI22" s="24"/>
      <c r="BJ22" s="24"/>
      <c r="BK22" s="24"/>
      <c r="BL22" s="24"/>
      <c r="BM22" s="24"/>
      <c r="BN22" s="27"/>
      <c r="BO22" s="26"/>
      <c r="BP22" s="24"/>
      <c r="BQ22" s="24"/>
      <c r="BR22" s="24"/>
      <c r="BS22" s="24"/>
      <c r="BT22" s="24"/>
      <c r="BU22" s="27"/>
      <c r="BV22" s="26"/>
      <c r="BW22" s="24"/>
      <c r="BX22" s="24"/>
      <c r="BY22" s="24"/>
      <c r="BZ22" s="24"/>
      <c r="CA22" s="24"/>
      <c r="CB22" s="27"/>
      <c r="CC22" s="26"/>
      <c r="CD22" s="24"/>
      <c r="CE22" s="24"/>
      <c r="CF22" s="24"/>
      <c r="CG22" s="24"/>
      <c r="CH22" s="24"/>
      <c r="CI22" s="27"/>
      <c r="CJ22" s="26"/>
      <c r="CK22" s="24"/>
      <c r="CL22" s="24"/>
      <c r="CM22" s="24"/>
      <c r="CN22" s="24"/>
      <c r="CO22" s="24"/>
      <c r="CP22" s="27"/>
      <c r="CQ22" s="26"/>
      <c r="CR22" s="24"/>
      <c r="CS22" s="27"/>
    </row>
    <row r="23" ht="14.25" customHeight="1">
      <c r="A23" s="32"/>
      <c r="B23" s="20"/>
      <c r="C23" s="20">
        <v>40.0</v>
      </c>
      <c r="D23" s="22"/>
      <c r="E23" s="23">
        <v>6.39365901E8</v>
      </c>
      <c r="F23" s="26"/>
      <c r="G23" s="24"/>
      <c r="H23" s="24"/>
      <c r="I23" s="24"/>
      <c r="J23" s="25"/>
      <c r="K23" s="24"/>
      <c r="L23" s="24"/>
      <c r="M23" s="24"/>
      <c r="N23" s="24"/>
      <c r="O23" s="24"/>
      <c r="P23" s="24"/>
      <c r="Q23" s="24"/>
      <c r="R23" s="26"/>
      <c r="S23" s="24"/>
      <c r="T23" s="24"/>
      <c r="U23" s="24"/>
      <c r="V23" s="24"/>
      <c r="W23" s="24"/>
      <c r="X23" s="27"/>
      <c r="Y23" s="26"/>
      <c r="Z23" s="24"/>
      <c r="AA23" s="24"/>
      <c r="AB23" s="24"/>
      <c r="AC23" s="24"/>
      <c r="AD23" s="24"/>
      <c r="AE23" s="27"/>
      <c r="AF23" s="26"/>
      <c r="AG23" s="24"/>
      <c r="AH23" s="24"/>
      <c r="AI23" s="24"/>
      <c r="AJ23" s="24"/>
      <c r="AK23" s="24"/>
      <c r="AL23" s="27"/>
      <c r="AM23" s="26"/>
      <c r="AN23" s="24"/>
      <c r="AO23" s="24"/>
      <c r="AP23" s="24"/>
      <c r="AQ23" s="24"/>
      <c r="AR23" s="24"/>
      <c r="AS23" s="27"/>
      <c r="AT23" s="26"/>
      <c r="AU23" s="24"/>
      <c r="AV23" s="24"/>
      <c r="AW23" s="24"/>
      <c r="AX23" s="24"/>
      <c r="AY23" s="24"/>
      <c r="AZ23" s="27"/>
      <c r="BA23" s="26"/>
      <c r="BB23" s="24"/>
      <c r="BC23" s="24"/>
      <c r="BD23" s="24"/>
      <c r="BE23" s="24"/>
      <c r="BF23" s="24"/>
      <c r="BG23" s="27"/>
      <c r="BH23" s="26"/>
      <c r="BI23" s="24"/>
      <c r="BJ23" s="24"/>
      <c r="BK23" s="24"/>
      <c r="BL23" s="24"/>
      <c r="BM23" s="24"/>
      <c r="BN23" s="27"/>
      <c r="BO23" s="26"/>
      <c r="BP23" s="24"/>
      <c r="BQ23" s="24"/>
      <c r="BR23" s="24"/>
      <c r="BS23" s="24"/>
      <c r="BT23" s="24"/>
      <c r="BU23" s="27"/>
      <c r="BV23" s="26"/>
      <c r="BW23" s="24"/>
      <c r="BX23" s="24"/>
      <c r="BY23" s="24"/>
      <c r="BZ23" s="24"/>
      <c r="CA23" s="24"/>
      <c r="CB23" s="27"/>
      <c r="CC23" s="26"/>
      <c r="CD23" s="24"/>
      <c r="CE23" s="24"/>
      <c r="CF23" s="24"/>
      <c r="CG23" s="24"/>
      <c r="CH23" s="24"/>
      <c r="CI23" s="27"/>
      <c r="CJ23" s="26"/>
      <c r="CK23" s="24"/>
      <c r="CL23" s="24"/>
      <c r="CM23" s="24"/>
      <c r="CN23" s="24"/>
      <c r="CO23" s="24"/>
      <c r="CP23" s="27"/>
      <c r="CQ23" s="26"/>
      <c r="CR23" s="24"/>
      <c r="CS23" s="27"/>
    </row>
    <row r="24" ht="14.25" customHeight="1">
      <c r="A24" s="32"/>
      <c r="B24" s="20"/>
      <c r="C24" s="20">
        <v>40.0</v>
      </c>
      <c r="D24" s="22"/>
      <c r="E24" s="23">
        <v>6.91224926E8</v>
      </c>
      <c r="F24" s="26"/>
      <c r="G24" s="24"/>
      <c r="H24" s="24"/>
      <c r="I24" s="24"/>
      <c r="J24" s="25"/>
      <c r="K24" s="24"/>
      <c r="L24" s="24"/>
      <c r="M24" s="24"/>
      <c r="N24" s="24"/>
      <c r="O24" s="24"/>
      <c r="P24" s="24"/>
      <c r="Q24" s="24"/>
      <c r="R24" s="26"/>
      <c r="S24" s="24"/>
      <c r="T24" s="24"/>
      <c r="U24" s="24"/>
      <c r="V24" s="24"/>
      <c r="W24" s="24"/>
      <c r="X24" s="27"/>
      <c r="Y24" s="26"/>
      <c r="Z24" s="24"/>
      <c r="AA24" s="24"/>
      <c r="AB24" s="24"/>
      <c r="AC24" s="24"/>
      <c r="AD24" s="24"/>
      <c r="AE24" s="27"/>
      <c r="AF24" s="26"/>
      <c r="AG24" s="24"/>
      <c r="AH24" s="24"/>
      <c r="AI24" s="24"/>
      <c r="AJ24" s="24"/>
      <c r="AK24" s="24"/>
      <c r="AL24" s="27"/>
      <c r="AM24" s="26"/>
      <c r="AN24" s="24"/>
      <c r="AO24" s="24"/>
      <c r="AP24" s="24"/>
      <c r="AQ24" s="24"/>
      <c r="AR24" s="24"/>
      <c r="AS24" s="27"/>
      <c r="AT24" s="26"/>
      <c r="AU24" s="24"/>
      <c r="AV24" s="24"/>
      <c r="AW24" s="24"/>
      <c r="AX24" s="24"/>
      <c r="AY24" s="24"/>
      <c r="AZ24" s="27"/>
      <c r="BA24" s="26"/>
      <c r="BB24" s="24"/>
      <c r="BC24" s="24"/>
      <c r="BD24" s="24"/>
      <c r="BE24" s="24"/>
      <c r="BF24" s="24"/>
      <c r="BG24" s="27"/>
      <c r="BH24" s="26"/>
      <c r="BI24" s="24"/>
      <c r="BJ24" s="24"/>
      <c r="BK24" s="24"/>
      <c r="BL24" s="24"/>
      <c r="BM24" s="24"/>
      <c r="BN24" s="27"/>
      <c r="BO24" s="26"/>
      <c r="BP24" s="24"/>
      <c r="BQ24" s="24"/>
      <c r="BR24" s="24"/>
      <c r="BS24" s="24"/>
      <c r="BT24" s="24"/>
      <c r="BU24" s="27"/>
      <c r="BV24" s="26"/>
      <c r="BW24" s="24"/>
      <c r="BX24" s="24"/>
      <c r="BY24" s="24"/>
      <c r="BZ24" s="24"/>
      <c r="CA24" s="24"/>
      <c r="CB24" s="27"/>
      <c r="CC24" s="26"/>
      <c r="CD24" s="24"/>
      <c r="CE24" s="24"/>
      <c r="CF24" s="24"/>
      <c r="CG24" s="24"/>
      <c r="CH24" s="24"/>
      <c r="CI24" s="27"/>
      <c r="CJ24" s="26"/>
      <c r="CK24" s="24"/>
      <c r="CL24" s="24"/>
      <c r="CM24" s="24"/>
      <c r="CN24" s="24"/>
      <c r="CO24" s="24"/>
      <c r="CP24" s="27"/>
      <c r="CQ24" s="26"/>
      <c r="CR24" s="24"/>
      <c r="CS24" s="27"/>
    </row>
    <row r="25" ht="14.25" customHeight="1">
      <c r="A25" s="32"/>
      <c r="B25" s="20"/>
      <c r="C25" s="20">
        <v>40.0</v>
      </c>
      <c r="D25" s="22"/>
      <c r="E25" s="23">
        <v>6.08183544E8</v>
      </c>
      <c r="F25" s="26"/>
      <c r="G25" s="24"/>
      <c r="H25" s="24"/>
      <c r="I25" s="24"/>
      <c r="J25" s="25"/>
      <c r="K25" s="24"/>
      <c r="L25" s="24"/>
      <c r="M25" s="24"/>
      <c r="N25" s="24"/>
      <c r="O25" s="24"/>
      <c r="P25" s="24"/>
      <c r="Q25" s="24"/>
      <c r="R25" s="26"/>
      <c r="S25" s="24"/>
      <c r="T25" s="24"/>
      <c r="U25" s="24"/>
      <c r="V25" s="24"/>
      <c r="W25" s="24"/>
      <c r="X25" s="27"/>
      <c r="Y25" s="26"/>
      <c r="Z25" s="24"/>
      <c r="AA25" s="24"/>
      <c r="AB25" s="24"/>
      <c r="AC25" s="24"/>
      <c r="AD25" s="24"/>
      <c r="AE25" s="27"/>
      <c r="AF25" s="26"/>
      <c r="AG25" s="24"/>
      <c r="AH25" s="24"/>
      <c r="AI25" s="24"/>
      <c r="AJ25" s="24"/>
      <c r="AK25" s="24"/>
      <c r="AL25" s="27"/>
      <c r="AM25" s="26"/>
      <c r="AN25" s="24"/>
      <c r="AO25" s="24"/>
      <c r="AP25" s="24"/>
      <c r="AQ25" s="24"/>
      <c r="AR25" s="24"/>
      <c r="AS25" s="27"/>
      <c r="AT25" s="26"/>
      <c r="AU25" s="24"/>
      <c r="AV25" s="24"/>
      <c r="AW25" s="24"/>
      <c r="AX25" s="24"/>
      <c r="AY25" s="24"/>
      <c r="AZ25" s="27"/>
      <c r="BA25" s="26"/>
      <c r="BB25" s="24"/>
      <c r="BC25" s="24"/>
      <c r="BD25" s="24"/>
      <c r="BE25" s="24"/>
      <c r="BF25" s="24"/>
      <c r="BG25" s="27"/>
      <c r="BH25" s="26"/>
      <c r="BI25" s="24"/>
      <c r="BJ25" s="24"/>
      <c r="BK25" s="24"/>
      <c r="BL25" s="24"/>
      <c r="BM25" s="24"/>
      <c r="BN25" s="27"/>
      <c r="BO25" s="26"/>
      <c r="BP25" s="24"/>
      <c r="BQ25" s="24"/>
      <c r="BR25" s="24"/>
      <c r="BS25" s="24"/>
      <c r="BT25" s="24"/>
      <c r="BU25" s="27"/>
      <c r="BV25" s="26"/>
      <c r="BW25" s="24"/>
      <c r="BX25" s="24"/>
      <c r="BY25" s="24"/>
      <c r="BZ25" s="24"/>
      <c r="CA25" s="24"/>
      <c r="CB25" s="27"/>
      <c r="CC25" s="26"/>
      <c r="CD25" s="24"/>
      <c r="CE25" s="24"/>
      <c r="CF25" s="24"/>
      <c r="CG25" s="24"/>
      <c r="CH25" s="24"/>
      <c r="CI25" s="27"/>
      <c r="CJ25" s="26"/>
      <c r="CK25" s="24"/>
      <c r="CL25" s="24"/>
      <c r="CM25" s="24"/>
      <c r="CN25" s="24"/>
      <c r="CO25" s="24"/>
      <c r="CP25" s="27"/>
      <c r="CQ25" s="26"/>
      <c r="CR25" s="24"/>
      <c r="CS25" s="27"/>
    </row>
    <row r="26" ht="14.25" customHeight="1">
      <c r="A26" s="33"/>
      <c r="B26" s="20"/>
      <c r="C26" s="20">
        <v>40.0</v>
      </c>
      <c r="D26" s="22"/>
      <c r="E26" s="23">
        <v>6.30200841E8</v>
      </c>
      <c r="F26" s="26"/>
      <c r="G26" s="24"/>
      <c r="H26" s="24"/>
      <c r="I26" s="24"/>
      <c r="J26" s="25"/>
      <c r="K26" s="24"/>
      <c r="L26" s="24"/>
      <c r="M26" s="24"/>
      <c r="N26" s="24"/>
      <c r="O26" s="24"/>
      <c r="P26" s="24"/>
      <c r="Q26" s="24"/>
      <c r="R26" s="26"/>
      <c r="S26" s="24"/>
      <c r="T26" s="24"/>
      <c r="U26" s="24"/>
      <c r="V26" s="24"/>
      <c r="W26" s="24"/>
      <c r="X26" s="27"/>
      <c r="Y26" s="26"/>
      <c r="Z26" s="24"/>
      <c r="AA26" s="24"/>
      <c r="AB26" s="24"/>
      <c r="AC26" s="24"/>
      <c r="AD26" s="24"/>
      <c r="AE26" s="27"/>
      <c r="AF26" s="26"/>
      <c r="AG26" s="24"/>
      <c r="AH26" s="24"/>
      <c r="AI26" s="24"/>
      <c r="AJ26" s="24"/>
      <c r="AK26" s="24"/>
      <c r="AL26" s="27"/>
      <c r="AM26" s="26"/>
      <c r="AN26" s="24"/>
      <c r="AO26" s="24"/>
      <c r="AP26" s="24"/>
      <c r="AQ26" s="24"/>
      <c r="AR26" s="24"/>
      <c r="AS26" s="27"/>
      <c r="AT26" s="26"/>
      <c r="AU26" s="24"/>
      <c r="AV26" s="24"/>
      <c r="AW26" s="24"/>
      <c r="AX26" s="24"/>
      <c r="AY26" s="24"/>
      <c r="AZ26" s="27"/>
      <c r="BA26" s="26"/>
      <c r="BB26" s="24"/>
      <c r="BC26" s="24"/>
      <c r="BD26" s="24"/>
      <c r="BE26" s="24"/>
      <c r="BF26" s="24"/>
      <c r="BG26" s="27"/>
      <c r="BH26" s="26"/>
      <c r="BI26" s="24"/>
      <c r="BJ26" s="24"/>
      <c r="BK26" s="24"/>
      <c r="BL26" s="24"/>
      <c r="BM26" s="24"/>
      <c r="BN26" s="27"/>
      <c r="BO26" s="26"/>
      <c r="BP26" s="24"/>
      <c r="BQ26" s="24"/>
      <c r="BR26" s="24"/>
      <c r="BS26" s="24"/>
      <c r="BT26" s="24"/>
      <c r="BU26" s="27"/>
      <c r="BV26" s="26"/>
      <c r="BW26" s="24"/>
      <c r="BX26" s="24"/>
      <c r="BY26" s="24"/>
      <c r="BZ26" s="24"/>
      <c r="CA26" s="24"/>
      <c r="CB26" s="27"/>
      <c r="CC26" s="26"/>
      <c r="CD26" s="24"/>
      <c r="CE26" s="24"/>
      <c r="CF26" s="24"/>
      <c r="CG26" s="24"/>
      <c r="CH26" s="24"/>
      <c r="CI26" s="27"/>
      <c r="CJ26" s="26"/>
      <c r="CK26" s="24"/>
      <c r="CL26" s="24"/>
      <c r="CM26" s="24"/>
      <c r="CN26" s="24"/>
      <c r="CO26" s="24"/>
      <c r="CP26" s="27"/>
      <c r="CQ26" s="26"/>
      <c r="CR26" s="24"/>
      <c r="CS26" s="27"/>
    </row>
    <row r="27" ht="14.25" customHeight="1">
      <c r="A27" s="32"/>
      <c r="B27" s="20"/>
      <c r="C27" s="20">
        <v>40.0</v>
      </c>
      <c r="D27" s="22"/>
      <c r="E27" s="23">
        <v>6.48703793E8</v>
      </c>
      <c r="F27" s="26"/>
      <c r="G27" s="24"/>
      <c r="H27" s="24"/>
      <c r="I27" s="24"/>
      <c r="J27" s="25"/>
      <c r="K27" s="24"/>
      <c r="L27" s="24"/>
      <c r="M27" s="24"/>
      <c r="N27" s="24"/>
      <c r="O27" s="24"/>
      <c r="P27" s="24"/>
      <c r="Q27" s="24"/>
      <c r="R27" s="26"/>
      <c r="S27" s="24"/>
      <c r="T27" s="24"/>
      <c r="U27" s="24"/>
      <c r="V27" s="24"/>
      <c r="W27" s="24"/>
      <c r="X27" s="27"/>
      <c r="Y27" s="26"/>
      <c r="Z27" s="24"/>
      <c r="AA27" s="24"/>
      <c r="AB27" s="24"/>
      <c r="AC27" s="24"/>
      <c r="AD27" s="24"/>
      <c r="AE27" s="27"/>
      <c r="AF27" s="26"/>
      <c r="AG27" s="24"/>
      <c r="AH27" s="24"/>
      <c r="AI27" s="24"/>
      <c r="AJ27" s="24"/>
      <c r="AK27" s="24"/>
      <c r="AL27" s="27"/>
      <c r="AM27" s="26"/>
      <c r="AN27" s="24"/>
      <c r="AO27" s="24"/>
      <c r="AP27" s="24"/>
      <c r="AQ27" s="24"/>
      <c r="AR27" s="24"/>
      <c r="AS27" s="27"/>
      <c r="AT27" s="26"/>
      <c r="AU27" s="24"/>
      <c r="AV27" s="24"/>
      <c r="AW27" s="24"/>
      <c r="AX27" s="24"/>
      <c r="AY27" s="24"/>
      <c r="AZ27" s="27"/>
      <c r="BA27" s="26"/>
      <c r="BB27" s="24"/>
      <c r="BC27" s="24"/>
      <c r="BD27" s="24"/>
      <c r="BE27" s="24"/>
      <c r="BF27" s="24"/>
      <c r="BG27" s="27"/>
      <c r="BH27" s="26"/>
      <c r="BI27" s="24"/>
      <c r="BJ27" s="24"/>
      <c r="BK27" s="24"/>
      <c r="BL27" s="24"/>
      <c r="BM27" s="24"/>
      <c r="BN27" s="27"/>
      <c r="BO27" s="26"/>
      <c r="BP27" s="24"/>
      <c r="BQ27" s="24"/>
      <c r="BR27" s="24"/>
      <c r="BS27" s="24"/>
      <c r="BT27" s="24"/>
      <c r="BU27" s="27"/>
      <c r="BV27" s="26"/>
      <c r="BW27" s="24"/>
      <c r="BX27" s="24"/>
      <c r="BY27" s="24"/>
      <c r="BZ27" s="24"/>
      <c r="CA27" s="24"/>
      <c r="CB27" s="27"/>
      <c r="CC27" s="26"/>
      <c r="CD27" s="24"/>
      <c r="CE27" s="24"/>
      <c r="CF27" s="24"/>
      <c r="CG27" s="24"/>
      <c r="CH27" s="24"/>
      <c r="CI27" s="27"/>
      <c r="CJ27" s="26"/>
      <c r="CK27" s="24"/>
      <c r="CL27" s="24"/>
      <c r="CM27" s="24"/>
      <c r="CN27" s="24"/>
      <c r="CO27" s="24"/>
      <c r="CP27" s="27"/>
      <c r="CQ27" s="26"/>
      <c r="CR27" s="24"/>
      <c r="CS27" s="27"/>
    </row>
    <row r="28" ht="14.25" customHeight="1">
      <c r="A28" s="32"/>
      <c r="B28" s="20"/>
      <c r="C28" s="20">
        <v>40.0</v>
      </c>
      <c r="D28" s="22"/>
      <c r="E28" s="23">
        <v>6.38770422E8</v>
      </c>
      <c r="F28" s="26"/>
      <c r="G28" s="24"/>
      <c r="H28" s="24"/>
      <c r="I28" s="24"/>
      <c r="J28" s="25"/>
      <c r="K28" s="24"/>
      <c r="L28" s="24"/>
      <c r="M28" s="24"/>
      <c r="N28" s="24"/>
      <c r="O28" s="24"/>
      <c r="P28" s="24"/>
      <c r="Q28" s="24"/>
      <c r="R28" s="26"/>
      <c r="S28" s="24"/>
      <c r="T28" s="24"/>
      <c r="U28" s="24"/>
      <c r="V28" s="24"/>
      <c r="W28" s="24"/>
      <c r="X28" s="27"/>
      <c r="Y28" s="26"/>
      <c r="Z28" s="24"/>
      <c r="AA28" s="24"/>
      <c r="AB28" s="24"/>
      <c r="AC28" s="24"/>
      <c r="AD28" s="24"/>
      <c r="AE28" s="27"/>
      <c r="AF28" s="26"/>
      <c r="AG28" s="24"/>
      <c r="AH28" s="24"/>
      <c r="AI28" s="24"/>
      <c r="AJ28" s="24"/>
      <c r="AK28" s="24"/>
      <c r="AL28" s="27"/>
      <c r="AM28" s="26"/>
      <c r="AN28" s="24"/>
      <c r="AO28" s="24"/>
      <c r="AP28" s="24"/>
      <c r="AQ28" s="24"/>
      <c r="AR28" s="24"/>
      <c r="AS28" s="27"/>
      <c r="AT28" s="26"/>
      <c r="AU28" s="24"/>
      <c r="AV28" s="24"/>
      <c r="AW28" s="24"/>
      <c r="AX28" s="24"/>
      <c r="AY28" s="24"/>
      <c r="AZ28" s="27"/>
      <c r="BA28" s="26"/>
      <c r="BB28" s="24"/>
      <c r="BC28" s="24"/>
      <c r="BD28" s="24"/>
      <c r="BE28" s="24"/>
      <c r="BF28" s="24"/>
      <c r="BG28" s="27"/>
      <c r="BH28" s="26"/>
      <c r="BI28" s="24"/>
      <c r="BJ28" s="24"/>
      <c r="BK28" s="24"/>
      <c r="BL28" s="24"/>
      <c r="BM28" s="24"/>
      <c r="BN28" s="27"/>
      <c r="BO28" s="26"/>
      <c r="BP28" s="24"/>
      <c r="BQ28" s="24"/>
      <c r="BR28" s="24"/>
      <c r="BS28" s="24"/>
      <c r="BT28" s="24"/>
      <c r="BU28" s="27"/>
      <c r="BV28" s="26"/>
      <c r="BW28" s="24"/>
      <c r="BX28" s="24"/>
      <c r="BY28" s="24"/>
      <c r="BZ28" s="24"/>
      <c r="CA28" s="24"/>
      <c r="CB28" s="27"/>
      <c r="CC28" s="26"/>
      <c r="CD28" s="24"/>
      <c r="CE28" s="24"/>
      <c r="CF28" s="24"/>
      <c r="CG28" s="24"/>
      <c r="CH28" s="24"/>
      <c r="CI28" s="27"/>
      <c r="CJ28" s="26"/>
      <c r="CK28" s="24"/>
      <c r="CL28" s="24"/>
      <c r="CM28" s="24"/>
      <c r="CN28" s="24"/>
      <c r="CO28" s="24"/>
      <c r="CP28" s="27"/>
      <c r="CQ28" s="26"/>
      <c r="CR28" s="24"/>
      <c r="CS28" s="27"/>
    </row>
    <row r="29" ht="14.25" customHeight="1">
      <c r="A29" s="32"/>
      <c r="B29" s="20"/>
      <c r="C29" s="20">
        <v>40.0</v>
      </c>
      <c r="D29" s="22"/>
      <c r="E29" s="23">
        <v>6.82535258E8</v>
      </c>
      <c r="F29" s="26"/>
      <c r="G29" s="24"/>
      <c r="H29" s="24"/>
      <c r="I29" s="24"/>
      <c r="J29" s="25"/>
      <c r="K29" s="24"/>
      <c r="L29" s="24"/>
      <c r="M29" s="24"/>
      <c r="N29" s="24"/>
      <c r="O29" s="24"/>
      <c r="P29" s="24"/>
      <c r="Q29" s="24"/>
      <c r="R29" s="26"/>
      <c r="S29" s="24"/>
      <c r="T29" s="24"/>
      <c r="U29" s="24"/>
      <c r="V29" s="24"/>
      <c r="W29" s="24"/>
      <c r="X29" s="27"/>
      <c r="Y29" s="26"/>
      <c r="Z29" s="24"/>
      <c r="AA29" s="24"/>
      <c r="AB29" s="24"/>
      <c r="AC29" s="24"/>
      <c r="AD29" s="24"/>
      <c r="AE29" s="27"/>
      <c r="AF29" s="26"/>
      <c r="AG29" s="24"/>
      <c r="AH29" s="24"/>
      <c r="AI29" s="24"/>
      <c r="AJ29" s="24"/>
      <c r="AK29" s="24"/>
      <c r="AL29" s="27"/>
      <c r="AM29" s="26"/>
      <c r="AN29" s="24"/>
      <c r="AO29" s="24"/>
      <c r="AP29" s="24"/>
      <c r="AQ29" s="24"/>
      <c r="AR29" s="24"/>
      <c r="AS29" s="27"/>
      <c r="AT29" s="26"/>
      <c r="AU29" s="24"/>
      <c r="AV29" s="24"/>
      <c r="AW29" s="24"/>
      <c r="AX29" s="24"/>
      <c r="AY29" s="24"/>
      <c r="AZ29" s="27"/>
      <c r="BA29" s="26"/>
      <c r="BB29" s="24"/>
      <c r="BC29" s="24"/>
      <c r="BD29" s="24"/>
      <c r="BE29" s="24"/>
      <c r="BF29" s="24"/>
      <c r="BG29" s="27"/>
      <c r="BH29" s="26"/>
      <c r="BI29" s="24"/>
      <c r="BJ29" s="24"/>
      <c r="BK29" s="24"/>
      <c r="BL29" s="24"/>
      <c r="BM29" s="24"/>
      <c r="BN29" s="27"/>
      <c r="BO29" s="26"/>
      <c r="BP29" s="24"/>
      <c r="BQ29" s="24"/>
      <c r="BR29" s="24"/>
      <c r="BS29" s="24"/>
      <c r="BT29" s="24"/>
      <c r="BU29" s="27"/>
      <c r="BV29" s="26"/>
      <c r="BW29" s="24"/>
      <c r="BX29" s="24"/>
      <c r="BY29" s="24"/>
      <c r="BZ29" s="24"/>
      <c r="CA29" s="24"/>
      <c r="CB29" s="27"/>
      <c r="CC29" s="26"/>
      <c r="CD29" s="24"/>
      <c r="CE29" s="24"/>
      <c r="CF29" s="24"/>
      <c r="CG29" s="24"/>
      <c r="CH29" s="24"/>
      <c r="CI29" s="27"/>
      <c r="CJ29" s="26"/>
      <c r="CK29" s="24"/>
      <c r="CL29" s="24"/>
      <c r="CM29" s="24"/>
      <c r="CN29" s="24"/>
      <c r="CO29" s="24"/>
      <c r="CP29" s="27"/>
      <c r="CQ29" s="26"/>
      <c r="CR29" s="24"/>
      <c r="CS29" s="27"/>
    </row>
    <row r="30" ht="14.25" customHeight="1">
      <c r="A30" s="32"/>
      <c r="B30" s="20"/>
      <c r="C30" s="20">
        <v>40.0</v>
      </c>
      <c r="D30" s="22"/>
      <c r="E30" s="23">
        <v>6.38056966E8</v>
      </c>
      <c r="F30" s="26"/>
      <c r="G30" s="24"/>
      <c r="H30" s="24"/>
      <c r="I30" s="24"/>
      <c r="J30" s="25"/>
      <c r="K30" s="24"/>
      <c r="L30" s="24"/>
      <c r="M30" s="24"/>
      <c r="N30" s="24"/>
      <c r="O30" s="24"/>
      <c r="P30" s="24"/>
      <c r="Q30" s="27"/>
      <c r="R30" s="26"/>
      <c r="S30" s="24"/>
      <c r="T30" s="24"/>
      <c r="U30" s="24"/>
      <c r="V30" s="24"/>
      <c r="W30" s="24"/>
      <c r="X30" s="27"/>
      <c r="Y30" s="26"/>
      <c r="Z30" s="24"/>
      <c r="AA30" s="24"/>
      <c r="AB30" s="24"/>
      <c r="AC30" s="24"/>
      <c r="AD30" s="24"/>
      <c r="AE30" s="27"/>
      <c r="AF30" s="26"/>
      <c r="AG30" s="24"/>
      <c r="AH30" s="24"/>
      <c r="AI30" s="24"/>
      <c r="AJ30" s="24"/>
      <c r="AK30" s="24"/>
      <c r="AL30" s="27"/>
      <c r="AM30" s="26"/>
      <c r="AN30" s="24"/>
      <c r="AO30" s="24"/>
      <c r="AP30" s="24"/>
      <c r="AQ30" s="24"/>
      <c r="AR30" s="24"/>
      <c r="AS30" s="27"/>
      <c r="AT30" s="26"/>
      <c r="AU30" s="24"/>
      <c r="AV30" s="24"/>
      <c r="AW30" s="24"/>
      <c r="AX30" s="24"/>
      <c r="AY30" s="24"/>
      <c r="AZ30" s="27"/>
      <c r="BA30" s="26"/>
      <c r="BB30" s="24"/>
      <c r="BC30" s="24"/>
      <c r="BD30" s="24"/>
      <c r="BE30" s="24"/>
      <c r="BF30" s="24"/>
      <c r="BG30" s="27"/>
      <c r="BH30" s="26"/>
      <c r="BI30" s="24"/>
      <c r="BJ30" s="24"/>
      <c r="BK30" s="24"/>
      <c r="BL30" s="24"/>
      <c r="BM30" s="24"/>
      <c r="BN30" s="27"/>
      <c r="BO30" s="26"/>
      <c r="BP30" s="24"/>
      <c r="BQ30" s="24"/>
      <c r="BR30" s="24"/>
      <c r="BS30" s="24"/>
      <c r="BT30" s="24"/>
      <c r="BU30" s="27"/>
      <c r="BV30" s="26"/>
      <c r="BW30" s="24"/>
      <c r="BX30" s="24"/>
      <c r="BY30" s="24"/>
      <c r="BZ30" s="24"/>
      <c r="CA30" s="24"/>
      <c r="CB30" s="27"/>
      <c r="CC30" s="26"/>
      <c r="CD30" s="24"/>
      <c r="CE30" s="24"/>
      <c r="CF30" s="24"/>
      <c r="CG30" s="24"/>
      <c r="CH30" s="24"/>
      <c r="CI30" s="27"/>
      <c r="CJ30" s="26"/>
      <c r="CK30" s="24"/>
      <c r="CL30" s="24"/>
      <c r="CM30" s="24"/>
      <c r="CN30" s="24"/>
      <c r="CO30" s="24"/>
      <c r="CP30" s="27"/>
      <c r="CQ30" s="26"/>
      <c r="CR30" s="24"/>
      <c r="CS30" s="27"/>
    </row>
    <row r="31" ht="14.25" customHeight="1">
      <c r="A31" s="32"/>
      <c r="B31" s="20"/>
      <c r="C31" s="20">
        <v>40.0</v>
      </c>
      <c r="D31" s="22"/>
      <c r="E31" s="23">
        <v>6.81161159E8</v>
      </c>
      <c r="F31" s="24"/>
      <c r="G31" s="24"/>
      <c r="H31" s="24"/>
      <c r="I31" s="24"/>
      <c r="J31" s="25"/>
      <c r="K31" s="24"/>
      <c r="L31" s="24"/>
      <c r="M31" s="24"/>
      <c r="N31" s="24"/>
      <c r="O31" s="24"/>
      <c r="P31" s="24"/>
      <c r="Q31" s="27"/>
      <c r="R31" s="26"/>
      <c r="S31" s="24"/>
      <c r="T31" s="24"/>
      <c r="U31" s="24"/>
      <c r="V31" s="24"/>
      <c r="W31" s="24"/>
      <c r="X31" s="27"/>
      <c r="Y31" s="26"/>
      <c r="Z31" s="24"/>
      <c r="AA31" s="24"/>
      <c r="AB31" s="24"/>
      <c r="AC31" s="24"/>
      <c r="AD31" s="24"/>
      <c r="AE31" s="27"/>
      <c r="AF31" s="26"/>
      <c r="AG31" s="24"/>
      <c r="AH31" s="24"/>
      <c r="AI31" s="24"/>
      <c r="AJ31" s="24"/>
      <c r="AK31" s="24"/>
      <c r="AL31" s="27"/>
      <c r="AM31" s="26"/>
      <c r="AN31" s="24"/>
      <c r="AO31" s="24"/>
      <c r="AP31" s="24"/>
      <c r="AQ31" s="24"/>
      <c r="AR31" s="24"/>
      <c r="AS31" s="27"/>
      <c r="AT31" s="26"/>
      <c r="AU31" s="24"/>
      <c r="AV31" s="24"/>
      <c r="AW31" s="24"/>
      <c r="AX31" s="24"/>
      <c r="AY31" s="24"/>
      <c r="AZ31" s="27"/>
      <c r="BA31" s="26"/>
      <c r="BB31" s="24"/>
      <c r="BC31" s="24"/>
      <c r="BD31" s="24"/>
      <c r="BE31" s="24"/>
      <c r="BF31" s="24"/>
      <c r="BG31" s="27"/>
      <c r="BH31" s="26"/>
      <c r="BI31" s="24"/>
      <c r="BJ31" s="24"/>
      <c r="BK31" s="24"/>
      <c r="BL31" s="24"/>
      <c r="BM31" s="24"/>
      <c r="BN31" s="27"/>
      <c r="BO31" s="26"/>
      <c r="BP31" s="24"/>
      <c r="BQ31" s="24"/>
      <c r="BR31" s="24"/>
      <c r="BS31" s="24"/>
      <c r="BT31" s="24"/>
      <c r="BU31" s="27"/>
      <c r="BV31" s="26"/>
      <c r="BW31" s="24"/>
      <c r="BX31" s="24"/>
      <c r="BY31" s="24"/>
      <c r="BZ31" s="24"/>
      <c r="CA31" s="24"/>
      <c r="CB31" s="27"/>
      <c r="CC31" s="26"/>
      <c r="CD31" s="24"/>
      <c r="CE31" s="24"/>
      <c r="CF31" s="24"/>
      <c r="CG31" s="24"/>
      <c r="CH31" s="24"/>
      <c r="CI31" s="27"/>
      <c r="CJ31" s="26"/>
      <c r="CK31" s="24"/>
      <c r="CL31" s="24"/>
      <c r="CM31" s="24"/>
      <c r="CN31" s="24"/>
      <c r="CO31" s="24"/>
      <c r="CP31" s="27"/>
      <c r="CQ31" s="26"/>
      <c r="CR31" s="24"/>
      <c r="CS31" s="27"/>
    </row>
    <row r="32" ht="14.25" customHeight="1">
      <c r="A32" s="32"/>
      <c r="B32" s="20"/>
      <c r="C32" s="20">
        <v>40.0</v>
      </c>
      <c r="D32" s="22"/>
      <c r="E32" s="23">
        <v>6.79257678E8</v>
      </c>
      <c r="F32" s="24"/>
      <c r="G32" s="24"/>
      <c r="H32" s="24"/>
      <c r="I32" s="24"/>
      <c r="J32" s="25"/>
      <c r="K32" s="24"/>
      <c r="L32" s="24"/>
      <c r="M32" s="24"/>
      <c r="N32" s="24"/>
      <c r="O32" s="24"/>
      <c r="P32" s="24"/>
      <c r="Q32" s="27"/>
      <c r="R32" s="26"/>
      <c r="S32" s="24"/>
      <c r="T32" s="24"/>
      <c r="U32" s="24"/>
      <c r="V32" s="24"/>
      <c r="W32" s="24"/>
      <c r="X32" s="27"/>
      <c r="Y32" s="26"/>
      <c r="Z32" s="24"/>
      <c r="AA32" s="24"/>
      <c r="AB32" s="24"/>
      <c r="AC32" s="24"/>
      <c r="AD32" s="24"/>
      <c r="AE32" s="27"/>
      <c r="AF32" s="26"/>
      <c r="AG32" s="24"/>
      <c r="AH32" s="24"/>
      <c r="AI32" s="24"/>
      <c r="AJ32" s="24"/>
      <c r="AK32" s="24"/>
      <c r="AL32" s="27"/>
      <c r="AM32" s="26"/>
      <c r="AN32" s="24"/>
      <c r="AO32" s="24"/>
      <c r="AP32" s="24"/>
      <c r="AQ32" s="24"/>
      <c r="AR32" s="24"/>
      <c r="AS32" s="27"/>
      <c r="AT32" s="26"/>
      <c r="AU32" s="24"/>
      <c r="AV32" s="24"/>
      <c r="AW32" s="24"/>
      <c r="AX32" s="24"/>
      <c r="AY32" s="24"/>
      <c r="AZ32" s="27"/>
      <c r="BA32" s="26"/>
      <c r="BB32" s="24"/>
      <c r="BC32" s="24"/>
      <c r="BD32" s="24"/>
      <c r="BE32" s="24"/>
      <c r="BF32" s="24"/>
      <c r="BG32" s="27"/>
      <c r="BH32" s="26"/>
      <c r="BI32" s="24"/>
      <c r="BJ32" s="24"/>
      <c r="BK32" s="24"/>
      <c r="BL32" s="24"/>
      <c r="BM32" s="24"/>
      <c r="BN32" s="27"/>
      <c r="BO32" s="26"/>
      <c r="BP32" s="24"/>
      <c r="BQ32" s="24"/>
      <c r="BR32" s="24"/>
      <c r="BS32" s="24"/>
      <c r="BT32" s="24"/>
      <c r="BU32" s="27"/>
      <c r="BV32" s="26"/>
      <c r="BW32" s="24"/>
      <c r="BX32" s="24"/>
      <c r="BY32" s="24"/>
      <c r="BZ32" s="24"/>
      <c r="CA32" s="24"/>
      <c r="CB32" s="27"/>
      <c r="CC32" s="26"/>
      <c r="CD32" s="24"/>
      <c r="CE32" s="24"/>
      <c r="CF32" s="24"/>
      <c r="CG32" s="24"/>
      <c r="CH32" s="24"/>
      <c r="CI32" s="27"/>
      <c r="CJ32" s="26"/>
      <c r="CK32" s="24"/>
      <c r="CL32" s="24"/>
      <c r="CM32" s="24"/>
      <c r="CN32" s="24"/>
      <c r="CO32" s="24"/>
      <c r="CP32" s="27"/>
      <c r="CQ32" s="26"/>
      <c r="CR32" s="24"/>
      <c r="CS32" s="27"/>
    </row>
    <row r="33" ht="14.25" customHeight="1">
      <c r="A33" s="32"/>
      <c r="B33" s="20"/>
      <c r="C33" s="20">
        <v>40.0</v>
      </c>
      <c r="D33" s="22"/>
      <c r="E33" s="23">
        <v>6.26081373E8</v>
      </c>
      <c r="F33" s="24"/>
      <c r="G33" s="24"/>
      <c r="H33" s="24"/>
      <c r="I33" s="24"/>
      <c r="J33" s="25"/>
      <c r="K33" s="24"/>
      <c r="L33" s="24"/>
      <c r="M33" s="24"/>
      <c r="N33" s="24"/>
      <c r="O33" s="24"/>
      <c r="P33" s="24"/>
      <c r="Q33" s="24"/>
      <c r="R33" s="26"/>
      <c r="S33" s="24"/>
      <c r="T33" s="24"/>
      <c r="U33" s="24"/>
      <c r="V33" s="24"/>
      <c r="W33" s="24"/>
      <c r="X33" s="27"/>
      <c r="Y33" s="26"/>
      <c r="Z33" s="24"/>
      <c r="AA33" s="24"/>
      <c r="AB33" s="24"/>
      <c r="AC33" s="24"/>
      <c r="AD33" s="24"/>
      <c r="AE33" s="27"/>
      <c r="AF33" s="26"/>
      <c r="AG33" s="24"/>
      <c r="AH33" s="24"/>
      <c r="AI33" s="24"/>
      <c r="AJ33" s="24"/>
      <c r="AK33" s="24"/>
      <c r="AL33" s="27"/>
      <c r="AM33" s="26"/>
      <c r="AN33" s="24"/>
      <c r="AO33" s="24"/>
      <c r="AP33" s="24"/>
      <c r="AQ33" s="24"/>
      <c r="AR33" s="24"/>
      <c r="AS33" s="27"/>
      <c r="AT33" s="26"/>
      <c r="AU33" s="24"/>
      <c r="AV33" s="24"/>
      <c r="AW33" s="24"/>
      <c r="AX33" s="24"/>
      <c r="AY33" s="24"/>
      <c r="AZ33" s="27"/>
      <c r="BA33" s="26"/>
      <c r="BB33" s="24"/>
      <c r="BC33" s="24"/>
      <c r="BD33" s="24"/>
      <c r="BE33" s="24"/>
      <c r="BF33" s="24"/>
      <c r="BG33" s="27"/>
      <c r="BH33" s="26"/>
      <c r="BI33" s="24"/>
      <c r="BJ33" s="24"/>
      <c r="BK33" s="24"/>
      <c r="BL33" s="24"/>
      <c r="BM33" s="24"/>
      <c r="BN33" s="27"/>
      <c r="BO33" s="26"/>
      <c r="BP33" s="24"/>
      <c r="BQ33" s="24"/>
      <c r="BR33" s="24"/>
      <c r="BS33" s="24"/>
      <c r="BT33" s="24"/>
      <c r="BU33" s="27"/>
      <c r="BV33" s="26"/>
      <c r="BW33" s="24"/>
      <c r="BX33" s="24"/>
      <c r="BY33" s="24"/>
      <c r="BZ33" s="24"/>
      <c r="CA33" s="24"/>
      <c r="CB33" s="27"/>
      <c r="CC33" s="26"/>
      <c r="CD33" s="24"/>
      <c r="CE33" s="24"/>
      <c r="CF33" s="24"/>
      <c r="CG33" s="24"/>
      <c r="CH33" s="24"/>
      <c r="CI33" s="27"/>
      <c r="CJ33" s="26"/>
      <c r="CK33" s="24"/>
      <c r="CL33" s="24"/>
      <c r="CM33" s="24"/>
      <c r="CN33" s="24"/>
      <c r="CO33" s="24"/>
      <c r="CP33" s="27"/>
      <c r="CQ33" s="26"/>
      <c r="CR33" s="24"/>
      <c r="CS33" s="27"/>
    </row>
    <row r="34" ht="14.25" customHeight="1">
      <c r="A34" s="32"/>
      <c r="B34" s="20"/>
      <c r="C34" s="20">
        <v>40.0</v>
      </c>
      <c r="D34" s="22"/>
      <c r="E34" s="23">
        <v>6.30412945E8</v>
      </c>
      <c r="F34" s="26"/>
      <c r="G34" s="24"/>
      <c r="H34" s="24"/>
      <c r="I34" s="24"/>
      <c r="J34" s="25"/>
      <c r="K34" s="24"/>
      <c r="L34" s="24"/>
      <c r="M34" s="24"/>
      <c r="N34" s="24"/>
      <c r="O34" s="24"/>
      <c r="P34" s="24"/>
      <c r="Q34" s="24"/>
      <c r="R34" s="26"/>
      <c r="S34" s="24"/>
      <c r="T34" s="24"/>
      <c r="U34" s="24"/>
      <c r="V34" s="24"/>
      <c r="W34" s="24"/>
      <c r="X34" s="27"/>
      <c r="Y34" s="26"/>
      <c r="Z34" s="24"/>
      <c r="AA34" s="24"/>
      <c r="AB34" s="24"/>
      <c r="AC34" s="24"/>
      <c r="AD34" s="24"/>
      <c r="AE34" s="27"/>
      <c r="AF34" s="26"/>
      <c r="AG34" s="24"/>
      <c r="AH34" s="24"/>
      <c r="AI34" s="24"/>
      <c r="AJ34" s="24"/>
      <c r="AK34" s="24"/>
      <c r="AL34" s="27"/>
      <c r="AM34" s="26"/>
      <c r="AN34" s="24"/>
      <c r="AO34" s="24"/>
      <c r="AP34" s="24"/>
      <c r="AQ34" s="24"/>
      <c r="AR34" s="24"/>
      <c r="AS34" s="27"/>
      <c r="AT34" s="26"/>
      <c r="AU34" s="24"/>
      <c r="AV34" s="24"/>
      <c r="AW34" s="24"/>
      <c r="AX34" s="24"/>
      <c r="AY34" s="24"/>
      <c r="AZ34" s="27"/>
      <c r="BA34" s="26"/>
      <c r="BB34" s="24"/>
      <c r="BC34" s="24"/>
      <c r="BD34" s="24"/>
      <c r="BE34" s="24"/>
      <c r="BF34" s="24"/>
      <c r="BG34" s="27"/>
      <c r="BH34" s="26"/>
      <c r="BI34" s="24"/>
      <c r="BJ34" s="24"/>
      <c r="BK34" s="24"/>
      <c r="BL34" s="24"/>
      <c r="BM34" s="24"/>
      <c r="BN34" s="27"/>
      <c r="BO34" s="26"/>
      <c r="BP34" s="24"/>
      <c r="BQ34" s="24"/>
      <c r="BR34" s="24"/>
      <c r="BS34" s="24"/>
      <c r="BT34" s="24"/>
      <c r="BU34" s="27"/>
      <c r="BV34" s="26"/>
      <c r="BW34" s="24"/>
      <c r="BX34" s="24"/>
      <c r="BY34" s="24"/>
      <c r="BZ34" s="24"/>
      <c r="CA34" s="24"/>
      <c r="CB34" s="27"/>
      <c r="CC34" s="26"/>
      <c r="CD34" s="24"/>
      <c r="CE34" s="24"/>
      <c r="CF34" s="24"/>
      <c r="CG34" s="24"/>
      <c r="CH34" s="24"/>
      <c r="CI34" s="27"/>
      <c r="CJ34" s="26"/>
      <c r="CK34" s="24"/>
      <c r="CL34" s="24"/>
      <c r="CM34" s="24"/>
      <c r="CN34" s="24"/>
      <c r="CO34" s="24"/>
      <c r="CP34" s="27"/>
      <c r="CQ34" s="26"/>
      <c r="CR34" s="24"/>
      <c r="CS34" s="27"/>
    </row>
    <row r="35" ht="14.25" customHeight="1">
      <c r="A35" s="32"/>
      <c r="B35" s="20"/>
      <c r="C35" s="20">
        <v>40.0</v>
      </c>
      <c r="D35" s="22"/>
      <c r="E35" s="23"/>
      <c r="F35" s="26"/>
      <c r="G35" s="24"/>
      <c r="H35" s="24"/>
      <c r="I35" s="24"/>
      <c r="J35" s="25"/>
      <c r="K35" s="24"/>
      <c r="L35" s="24"/>
      <c r="M35" s="24"/>
      <c r="N35" s="24"/>
      <c r="O35" s="24"/>
      <c r="P35" s="24"/>
      <c r="Q35" s="24"/>
      <c r="R35" s="26"/>
      <c r="S35" s="24"/>
      <c r="T35" s="24"/>
      <c r="U35" s="24"/>
      <c r="V35" s="24"/>
      <c r="W35" s="24"/>
      <c r="X35" s="27"/>
      <c r="Y35" s="26"/>
      <c r="Z35" s="24"/>
      <c r="AA35" s="24"/>
      <c r="AB35" s="24"/>
      <c r="AC35" s="24"/>
      <c r="AD35" s="24"/>
      <c r="AE35" s="27"/>
      <c r="AF35" s="26"/>
      <c r="AG35" s="24"/>
      <c r="AH35" s="24"/>
      <c r="AI35" s="24"/>
      <c r="AJ35" s="24"/>
      <c r="AK35" s="24"/>
      <c r="AL35" s="27"/>
      <c r="AM35" s="26"/>
      <c r="AN35" s="24"/>
      <c r="AO35" s="24"/>
      <c r="AP35" s="24"/>
      <c r="AQ35" s="24"/>
      <c r="AR35" s="24"/>
      <c r="AS35" s="27"/>
      <c r="AT35" s="26"/>
      <c r="AU35" s="24"/>
      <c r="AV35" s="24"/>
      <c r="AW35" s="24"/>
      <c r="AX35" s="24"/>
      <c r="AY35" s="24"/>
      <c r="AZ35" s="27"/>
      <c r="BA35" s="26"/>
      <c r="BB35" s="24"/>
      <c r="BC35" s="24"/>
      <c r="BD35" s="24"/>
      <c r="BE35" s="24"/>
      <c r="BF35" s="24"/>
      <c r="BG35" s="27"/>
      <c r="BH35" s="26"/>
      <c r="BI35" s="24"/>
      <c r="BJ35" s="24"/>
      <c r="BK35" s="24"/>
      <c r="BL35" s="24"/>
      <c r="BM35" s="24"/>
      <c r="BN35" s="27"/>
      <c r="BO35" s="26"/>
      <c r="BP35" s="24"/>
      <c r="BQ35" s="24"/>
      <c r="BR35" s="24"/>
      <c r="BS35" s="24"/>
      <c r="BT35" s="24"/>
      <c r="BU35" s="27"/>
      <c r="BV35" s="26"/>
      <c r="BW35" s="24"/>
      <c r="BX35" s="24"/>
      <c r="BY35" s="24"/>
      <c r="BZ35" s="24"/>
      <c r="CA35" s="24"/>
      <c r="CB35" s="27"/>
      <c r="CC35" s="26"/>
      <c r="CD35" s="24"/>
      <c r="CE35" s="24"/>
      <c r="CF35" s="24"/>
      <c r="CG35" s="24"/>
      <c r="CH35" s="24"/>
      <c r="CI35" s="27"/>
      <c r="CJ35" s="26"/>
      <c r="CK35" s="24"/>
      <c r="CL35" s="24"/>
      <c r="CM35" s="24"/>
      <c r="CN35" s="24"/>
      <c r="CO35" s="24"/>
      <c r="CP35" s="27"/>
      <c r="CQ35" s="26"/>
      <c r="CR35" s="24"/>
      <c r="CS35" s="27"/>
    </row>
    <row r="36" ht="14.25" customHeight="1">
      <c r="A36" s="32"/>
      <c r="B36" s="20"/>
      <c r="C36" s="20">
        <v>40.0</v>
      </c>
      <c r="D36" s="22"/>
      <c r="E36" s="23">
        <v>6.80396554E8</v>
      </c>
      <c r="F36" s="26"/>
      <c r="G36" s="24"/>
      <c r="H36" s="24"/>
      <c r="I36" s="24"/>
      <c r="J36" s="25"/>
      <c r="K36" s="24"/>
      <c r="L36" s="24"/>
      <c r="M36" s="24"/>
      <c r="N36" s="24"/>
      <c r="O36" s="24"/>
      <c r="P36" s="24"/>
      <c r="Q36" s="24"/>
      <c r="R36" s="26"/>
      <c r="S36" s="24"/>
      <c r="T36" s="24"/>
      <c r="U36" s="24"/>
      <c r="V36" s="24"/>
      <c r="W36" s="24"/>
      <c r="X36" s="27"/>
      <c r="Y36" s="26"/>
      <c r="Z36" s="24"/>
      <c r="AA36" s="24"/>
      <c r="AB36" s="24"/>
      <c r="AC36" s="24"/>
      <c r="AD36" s="24"/>
      <c r="AE36" s="27"/>
      <c r="AF36" s="26"/>
      <c r="AG36" s="24"/>
      <c r="AH36" s="24"/>
      <c r="AI36" s="24"/>
      <c r="AJ36" s="24"/>
      <c r="AK36" s="24"/>
      <c r="AL36" s="27"/>
      <c r="AM36" s="26"/>
      <c r="AN36" s="24"/>
      <c r="AO36" s="24"/>
      <c r="AP36" s="24"/>
      <c r="AQ36" s="24"/>
      <c r="AR36" s="24"/>
      <c r="AS36" s="27"/>
      <c r="AT36" s="26"/>
      <c r="AU36" s="24"/>
      <c r="AV36" s="24"/>
      <c r="AW36" s="24"/>
      <c r="AX36" s="24"/>
      <c r="AY36" s="24"/>
      <c r="AZ36" s="27"/>
      <c r="BA36" s="26"/>
      <c r="BB36" s="24"/>
      <c r="BC36" s="24"/>
      <c r="BD36" s="24"/>
      <c r="BE36" s="24"/>
      <c r="BF36" s="24"/>
      <c r="BG36" s="27"/>
      <c r="BH36" s="26"/>
      <c r="BI36" s="24"/>
      <c r="BJ36" s="24"/>
      <c r="BK36" s="24"/>
      <c r="BL36" s="24"/>
      <c r="BM36" s="24"/>
      <c r="BN36" s="27"/>
      <c r="BO36" s="26"/>
      <c r="BP36" s="24"/>
      <c r="BQ36" s="24"/>
      <c r="BR36" s="24"/>
      <c r="BS36" s="24"/>
      <c r="BT36" s="24"/>
      <c r="BU36" s="27"/>
      <c r="BV36" s="26"/>
      <c r="BW36" s="24"/>
      <c r="BX36" s="24"/>
      <c r="BY36" s="24"/>
      <c r="BZ36" s="24"/>
      <c r="CA36" s="24"/>
      <c r="CB36" s="27"/>
      <c r="CC36" s="26"/>
      <c r="CD36" s="24"/>
      <c r="CE36" s="24"/>
      <c r="CF36" s="24"/>
      <c r="CG36" s="24"/>
      <c r="CH36" s="24"/>
      <c r="CI36" s="27"/>
      <c r="CJ36" s="26"/>
      <c r="CK36" s="24"/>
      <c r="CL36" s="24"/>
      <c r="CM36" s="24"/>
      <c r="CN36" s="24"/>
      <c r="CO36" s="24"/>
      <c r="CP36" s="27"/>
      <c r="CQ36" s="26"/>
      <c r="CR36" s="24"/>
      <c r="CS36" s="27"/>
    </row>
    <row r="37" ht="14.25" customHeight="1">
      <c r="A37" s="32"/>
      <c r="B37" s="20"/>
      <c r="C37" s="20">
        <v>40.0</v>
      </c>
      <c r="D37" s="22"/>
      <c r="E37" s="23">
        <v>6.38099194E8</v>
      </c>
      <c r="F37" s="26"/>
      <c r="G37" s="24"/>
      <c r="H37" s="24"/>
      <c r="I37" s="24"/>
      <c r="J37" s="25"/>
      <c r="K37" s="24"/>
      <c r="L37" s="24"/>
      <c r="M37" s="24"/>
      <c r="N37" s="24"/>
      <c r="O37" s="24"/>
      <c r="P37" s="24"/>
      <c r="Q37" s="24"/>
      <c r="R37" s="26"/>
      <c r="S37" s="24"/>
      <c r="T37" s="24"/>
      <c r="U37" s="24"/>
      <c r="V37" s="24"/>
      <c r="W37" s="24"/>
      <c r="X37" s="27"/>
      <c r="Y37" s="26"/>
      <c r="Z37" s="24"/>
      <c r="AA37" s="24"/>
      <c r="AB37" s="24"/>
      <c r="AC37" s="24"/>
      <c r="AD37" s="24"/>
      <c r="AE37" s="27"/>
      <c r="AF37" s="26"/>
      <c r="AG37" s="24"/>
      <c r="AH37" s="24"/>
      <c r="AI37" s="24"/>
      <c r="AJ37" s="24"/>
      <c r="AK37" s="24"/>
      <c r="AL37" s="27"/>
      <c r="AM37" s="26"/>
      <c r="AN37" s="24"/>
      <c r="AO37" s="24"/>
      <c r="AP37" s="24"/>
      <c r="AQ37" s="24"/>
      <c r="AR37" s="24"/>
      <c r="AS37" s="27"/>
      <c r="AT37" s="26"/>
      <c r="AU37" s="24"/>
      <c r="AV37" s="24"/>
      <c r="AW37" s="24"/>
      <c r="AX37" s="24"/>
      <c r="AY37" s="24"/>
      <c r="AZ37" s="27"/>
      <c r="BA37" s="26"/>
      <c r="BB37" s="24"/>
      <c r="BC37" s="24"/>
      <c r="BD37" s="24"/>
      <c r="BE37" s="24"/>
      <c r="BF37" s="24"/>
      <c r="BG37" s="27"/>
      <c r="BH37" s="26"/>
      <c r="BI37" s="24"/>
      <c r="BJ37" s="24"/>
      <c r="BK37" s="24"/>
      <c r="BL37" s="24"/>
      <c r="BM37" s="24"/>
      <c r="BN37" s="27"/>
      <c r="BO37" s="26"/>
      <c r="BP37" s="24"/>
      <c r="BQ37" s="24"/>
      <c r="BR37" s="24"/>
      <c r="BS37" s="24"/>
      <c r="BT37" s="24"/>
      <c r="BU37" s="27"/>
      <c r="BV37" s="26"/>
      <c r="BW37" s="24"/>
      <c r="BX37" s="24"/>
      <c r="BY37" s="24"/>
      <c r="BZ37" s="24"/>
      <c r="CA37" s="24"/>
      <c r="CB37" s="27"/>
      <c r="CC37" s="26"/>
      <c r="CD37" s="24"/>
      <c r="CE37" s="24"/>
      <c r="CF37" s="24"/>
      <c r="CG37" s="24"/>
      <c r="CH37" s="24"/>
      <c r="CI37" s="27"/>
      <c r="CJ37" s="26"/>
      <c r="CK37" s="24"/>
      <c r="CL37" s="24"/>
      <c r="CM37" s="24"/>
      <c r="CN37" s="24"/>
      <c r="CO37" s="24"/>
      <c r="CP37" s="27"/>
      <c r="CQ37" s="26"/>
      <c r="CR37" s="24"/>
      <c r="CS37" s="27"/>
    </row>
    <row r="38" ht="14.25" customHeight="1">
      <c r="A38" s="32"/>
      <c r="B38" s="20"/>
      <c r="C38" s="20">
        <v>40.0</v>
      </c>
      <c r="D38" s="22"/>
      <c r="E38" s="23">
        <v>6.56408637E8</v>
      </c>
      <c r="F38" s="26"/>
      <c r="G38" s="24"/>
      <c r="H38" s="24"/>
      <c r="I38" s="24"/>
      <c r="J38" s="25"/>
      <c r="K38" s="24"/>
      <c r="L38" s="24"/>
      <c r="M38" s="24"/>
      <c r="N38" s="24"/>
      <c r="O38" s="24"/>
      <c r="P38" s="24"/>
      <c r="Q38" s="24"/>
      <c r="R38" s="26"/>
      <c r="S38" s="24"/>
      <c r="T38" s="24"/>
      <c r="U38" s="24"/>
      <c r="V38" s="24"/>
      <c r="W38" s="24"/>
      <c r="X38" s="27"/>
      <c r="Y38" s="26"/>
      <c r="Z38" s="24"/>
      <c r="AA38" s="24"/>
      <c r="AB38" s="24"/>
      <c r="AC38" s="24"/>
      <c r="AD38" s="24"/>
      <c r="AE38" s="27"/>
      <c r="AF38" s="26"/>
      <c r="AG38" s="24"/>
      <c r="AH38" s="24"/>
      <c r="AI38" s="24"/>
      <c r="AJ38" s="24"/>
      <c r="AK38" s="24"/>
      <c r="AL38" s="27"/>
      <c r="AM38" s="26"/>
      <c r="AN38" s="24"/>
      <c r="AO38" s="24"/>
      <c r="AP38" s="24"/>
      <c r="AQ38" s="24"/>
      <c r="AR38" s="24"/>
      <c r="AS38" s="27"/>
      <c r="AT38" s="26"/>
      <c r="AU38" s="24"/>
      <c r="AV38" s="24"/>
      <c r="AW38" s="24"/>
      <c r="AX38" s="24"/>
      <c r="AY38" s="24"/>
      <c r="AZ38" s="27"/>
      <c r="BA38" s="26"/>
      <c r="BB38" s="24"/>
      <c r="BC38" s="24"/>
      <c r="BD38" s="24"/>
      <c r="BE38" s="24"/>
      <c r="BF38" s="24"/>
      <c r="BG38" s="27"/>
      <c r="BH38" s="26"/>
      <c r="BI38" s="24"/>
      <c r="BJ38" s="24"/>
      <c r="BK38" s="24"/>
      <c r="BL38" s="24"/>
      <c r="BM38" s="24"/>
      <c r="BN38" s="27"/>
      <c r="BO38" s="26"/>
      <c r="BP38" s="24"/>
      <c r="BQ38" s="24"/>
      <c r="BR38" s="24"/>
      <c r="BS38" s="24"/>
      <c r="BT38" s="24"/>
      <c r="BU38" s="27"/>
      <c r="BV38" s="26"/>
      <c r="BW38" s="24"/>
      <c r="BX38" s="24"/>
      <c r="BY38" s="24"/>
      <c r="BZ38" s="24"/>
      <c r="CA38" s="24"/>
      <c r="CB38" s="27"/>
      <c r="CC38" s="26"/>
      <c r="CD38" s="24"/>
      <c r="CE38" s="24"/>
      <c r="CF38" s="24"/>
      <c r="CG38" s="24"/>
      <c r="CH38" s="24"/>
      <c r="CI38" s="27"/>
      <c r="CJ38" s="26"/>
      <c r="CK38" s="24"/>
      <c r="CL38" s="24"/>
      <c r="CM38" s="24"/>
      <c r="CN38" s="24"/>
      <c r="CO38" s="24"/>
      <c r="CP38" s="27"/>
      <c r="CQ38" s="26"/>
      <c r="CR38" s="24"/>
      <c r="CS38" s="27"/>
    </row>
    <row r="39" ht="14.25" customHeight="1">
      <c r="A39" s="32"/>
      <c r="B39" s="20"/>
      <c r="C39" s="20">
        <v>40.0</v>
      </c>
      <c r="D39" s="22"/>
      <c r="E39" s="23">
        <v>6.30467357E8</v>
      </c>
      <c r="F39" s="26"/>
      <c r="G39" s="24"/>
      <c r="H39" s="24"/>
      <c r="I39" s="24"/>
      <c r="J39" s="25"/>
      <c r="K39" s="24"/>
      <c r="L39" s="24"/>
      <c r="M39" s="24"/>
      <c r="N39" s="24"/>
      <c r="O39" s="24"/>
      <c r="P39" s="24"/>
      <c r="Q39" s="24"/>
      <c r="R39" s="26"/>
      <c r="S39" s="24"/>
      <c r="T39" s="24"/>
      <c r="U39" s="24"/>
      <c r="V39" s="24"/>
      <c r="W39" s="24"/>
      <c r="X39" s="27"/>
      <c r="Y39" s="26"/>
      <c r="Z39" s="24"/>
      <c r="AA39" s="24"/>
      <c r="AB39" s="24"/>
      <c r="AC39" s="24"/>
      <c r="AD39" s="24"/>
      <c r="AE39" s="27"/>
      <c r="AF39" s="26"/>
      <c r="AG39" s="24"/>
      <c r="AH39" s="24"/>
      <c r="AI39" s="24"/>
      <c r="AJ39" s="24"/>
      <c r="AK39" s="24"/>
      <c r="AL39" s="27"/>
      <c r="AM39" s="26"/>
      <c r="AN39" s="24"/>
      <c r="AO39" s="24"/>
      <c r="AP39" s="24"/>
      <c r="AQ39" s="24"/>
      <c r="AR39" s="24"/>
      <c r="AS39" s="27"/>
      <c r="AT39" s="26"/>
      <c r="AU39" s="24"/>
      <c r="AV39" s="24"/>
      <c r="AW39" s="24"/>
      <c r="AX39" s="24"/>
      <c r="AY39" s="24"/>
      <c r="AZ39" s="27"/>
      <c r="BA39" s="26"/>
      <c r="BB39" s="24"/>
      <c r="BC39" s="24"/>
      <c r="BD39" s="24"/>
      <c r="BE39" s="24"/>
      <c r="BF39" s="24"/>
      <c r="BG39" s="27"/>
      <c r="BH39" s="26"/>
      <c r="BI39" s="24"/>
      <c r="BJ39" s="24"/>
      <c r="BK39" s="24"/>
      <c r="BL39" s="24"/>
      <c r="BM39" s="24"/>
      <c r="BN39" s="27"/>
      <c r="BO39" s="26"/>
      <c r="BP39" s="24"/>
      <c r="BQ39" s="24"/>
      <c r="BR39" s="24"/>
      <c r="BS39" s="24"/>
      <c r="BT39" s="24"/>
      <c r="BU39" s="27"/>
      <c r="BV39" s="26"/>
      <c r="BW39" s="24"/>
      <c r="BX39" s="24"/>
      <c r="BY39" s="24"/>
      <c r="BZ39" s="24"/>
      <c r="CA39" s="24"/>
      <c r="CB39" s="27"/>
      <c r="CC39" s="26"/>
      <c r="CD39" s="24"/>
      <c r="CE39" s="24"/>
      <c r="CF39" s="24"/>
      <c r="CG39" s="24"/>
      <c r="CH39" s="24"/>
      <c r="CI39" s="27"/>
      <c r="CJ39" s="26"/>
      <c r="CK39" s="24"/>
      <c r="CL39" s="24"/>
      <c r="CM39" s="24"/>
      <c r="CN39" s="24"/>
      <c r="CO39" s="24"/>
      <c r="CP39" s="27"/>
      <c r="CQ39" s="26"/>
      <c r="CR39" s="24"/>
      <c r="CS39" s="27"/>
    </row>
    <row r="40" ht="14.25" customHeight="1">
      <c r="A40" s="32"/>
      <c r="B40" s="20"/>
      <c r="C40" s="20">
        <v>40.0</v>
      </c>
      <c r="D40" s="22"/>
      <c r="E40" s="23">
        <v>6.08418184E8</v>
      </c>
      <c r="F40" s="26"/>
      <c r="G40" s="24"/>
      <c r="H40" s="24"/>
      <c r="I40" s="24"/>
      <c r="J40" s="25"/>
      <c r="K40" s="24"/>
      <c r="L40" s="24"/>
      <c r="M40" s="24"/>
      <c r="N40" s="24"/>
      <c r="O40" s="24"/>
      <c r="P40" s="24"/>
      <c r="Q40" s="24"/>
      <c r="R40" s="26"/>
      <c r="S40" s="24"/>
      <c r="T40" s="24"/>
      <c r="U40" s="24"/>
      <c r="V40" s="24"/>
      <c r="W40" s="24"/>
      <c r="X40" s="27"/>
      <c r="Y40" s="26"/>
      <c r="Z40" s="24"/>
      <c r="AA40" s="24"/>
      <c r="AB40" s="24"/>
      <c r="AC40" s="24"/>
      <c r="AD40" s="24"/>
      <c r="AE40" s="27"/>
      <c r="AF40" s="26"/>
      <c r="AG40" s="24"/>
      <c r="AH40" s="24"/>
      <c r="AI40" s="24"/>
      <c r="AJ40" s="24"/>
      <c r="AK40" s="24"/>
      <c r="AL40" s="27"/>
      <c r="AM40" s="26"/>
      <c r="AN40" s="24"/>
      <c r="AO40" s="24"/>
      <c r="AP40" s="24"/>
      <c r="AQ40" s="24"/>
      <c r="AR40" s="24"/>
      <c r="AS40" s="27"/>
      <c r="AT40" s="26"/>
      <c r="AU40" s="24"/>
      <c r="AV40" s="24"/>
      <c r="AW40" s="24"/>
      <c r="AX40" s="24"/>
      <c r="AY40" s="24"/>
      <c r="AZ40" s="27"/>
      <c r="BA40" s="26"/>
      <c r="BB40" s="24"/>
      <c r="BC40" s="24"/>
      <c r="BD40" s="24"/>
      <c r="BE40" s="24"/>
      <c r="BF40" s="24"/>
      <c r="BG40" s="27"/>
      <c r="BH40" s="26"/>
      <c r="BI40" s="24"/>
      <c r="BJ40" s="24"/>
      <c r="BK40" s="24"/>
      <c r="BL40" s="24"/>
      <c r="BM40" s="24"/>
      <c r="BN40" s="27"/>
      <c r="BO40" s="26"/>
      <c r="BP40" s="24"/>
      <c r="BQ40" s="24"/>
      <c r="BR40" s="24"/>
      <c r="BS40" s="24"/>
      <c r="BT40" s="24"/>
      <c r="BU40" s="27"/>
      <c r="BV40" s="26"/>
      <c r="BW40" s="24"/>
      <c r="BX40" s="24"/>
      <c r="BY40" s="24"/>
      <c r="BZ40" s="24"/>
      <c r="CA40" s="24"/>
      <c r="CB40" s="27"/>
      <c r="CC40" s="26"/>
      <c r="CD40" s="24"/>
      <c r="CE40" s="24"/>
      <c r="CF40" s="24"/>
      <c r="CG40" s="24"/>
      <c r="CH40" s="24"/>
      <c r="CI40" s="27"/>
      <c r="CJ40" s="26"/>
      <c r="CK40" s="24"/>
      <c r="CL40" s="24"/>
      <c r="CM40" s="24"/>
      <c r="CN40" s="24"/>
      <c r="CO40" s="24"/>
      <c r="CP40" s="27"/>
      <c r="CQ40" s="26"/>
      <c r="CR40" s="24"/>
      <c r="CS40" s="27"/>
    </row>
    <row r="41" ht="14.25" customHeight="1">
      <c r="A41" s="34"/>
      <c r="B41" s="20"/>
      <c r="C41" s="35">
        <v>40.0</v>
      </c>
      <c r="D41" s="22"/>
      <c r="E41" s="23">
        <v>6.86844158E8</v>
      </c>
      <c r="F41" s="26"/>
      <c r="G41" s="24"/>
      <c r="H41" s="24"/>
      <c r="I41" s="24"/>
      <c r="J41" s="25"/>
      <c r="K41" s="24"/>
      <c r="L41" s="24"/>
      <c r="M41" s="24"/>
      <c r="N41" s="24"/>
      <c r="O41" s="24"/>
      <c r="P41" s="24"/>
      <c r="Q41" s="24"/>
      <c r="R41" s="26"/>
      <c r="S41" s="24"/>
      <c r="T41" s="24"/>
      <c r="U41" s="24"/>
      <c r="V41" s="24"/>
      <c r="W41" s="24"/>
      <c r="X41" s="27"/>
      <c r="Y41" s="26"/>
      <c r="Z41" s="24"/>
      <c r="AA41" s="24"/>
      <c r="AB41" s="24"/>
      <c r="AC41" s="24"/>
      <c r="AD41" s="24"/>
      <c r="AE41" s="27"/>
      <c r="AF41" s="26"/>
      <c r="AG41" s="24"/>
      <c r="AH41" s="24"/>
      <c r="AI41" s="24"/>
      <c r="AJ41" s="24"/>
      <c r="AK41" s="24"/>
      <c r="AL41" s="27"/>
      <c r="AM41" s="26"/>
      <c r="AN41" s="24"/>
      <c r="AO41" s="24"/>
      <c r="AP41" s="24"/>
      <c r="AQ41" s="24"/>
      <c r="AR41" s="24"/>
      <c r="AS41" s="27"/>
      <c r="AT41" s="26"/>
      <c r="AU41" s="24"/>
      <c r="AV41" s="24"/>
      <c r="AW41" s="24"/>
      <c r="AX41" s="24"/>
      <c r="AY41" s="24"/>
      <c r="AZ41" s="27"/>
      <c r="BA41" s="26"/>
      <c r="BB41" s="24"/>
      <c r="BC41" s="24"/>
      <c r="BD41" s="24"/>
      <c r="BE41" s="24"/>
      <c r="BF41" s="24"/>
      <c r="BG41" s="27"/>
      <c r="BH41" s="26"/>
      <c r="BI41" s="24"/>
      <c r="BJ41" s="24"/>
      <c r="BK41" s="24"/>
      <c r="BL41" s="24"/>
      <c r="BM41" s="24"/>
      <c r="BN41" s="27"/>
      <c r="BO41" s="26"/>
      <c r="BP41" s="24"/>
      <c r="BQ41" s="24"/>
      <c r="BR41" s="24"/>
      <c r="BS41" s="24"/>
      <c r="BT41" s="24"/>
      <c r="BU41" s="27"/>
      <c r="BV41" s="26"/>
      <c r="BW41" s="24"/>
      <c r="BX41" s="24"/>
      <c r="BY41" s="24"/>
      <c r="BZ41" s="24"/>
      <c r="CA41" s="24"/>
      <c r="CB41" s="27"/>
      <c r="CC41" s="26"/>
      <c r="CD41" s="24"/>
      <c r="CE41" s="24"/>
      <c r="CF41" s="24"/>
      <c r="CG41" s="24"/>
      <c r="CH41" s="24"/>
      <c r="CI41" s="27"/>
      <c r="CJ41" s="26"/>
      <c r="CK41" s="24"/>
      <c r="CL41" s="24"/>
      <c r="CM41" s="24"/>
      <c r="CN41" s="24"/>
      <c r="CO41" s="24"/>
      <c r="CP41" s="27"/>
      <c r="CQ41" s="26"/>
      <c r="CR41" s="24"/>
      <c r="CS41" s="27"/>
    </row>
    <row r="42" ht="14.25" customHeight="1">
      <c r="A42" s="32"/>
      <c r="B42" s="20"/>
      <c r="C42" s="20">
        <v>40.0</v>
      </c>
      <c r="D42" s="22"/>
      <c r="E42" s="23">
        <v>6.89441653E8</v>
      </c>
      <c r="F42" s="26"/>
      <c r="G42" s="24"/>
      <c r="H42" s="24"/>
      <c r="I42" s="24"/>
      <c r="J42" s="25"/>
      <c r="K42" s="24"/>
      <c r="L42" s="24"/>
      <c r="M42" s="24"/>
      <c r="N42" s="24"/>
      <c r="O42" s="24"/>
      <c r="P42" s="24"/>
      <c r="Q42" s="24"/>
      <c r="R42" s="26"/>
      <c r="S42" s="24"/>
      <c r="T42" s="24"/>
      <c r="U42" s="24"/>
      <c r="V42" s="24"/>
      <c r="W42" s="24"/>
      <c r="X42" s="27"/>
      <c r="Y42" s="26"/>
      <c r="Z42" s="24"/>
      <c r="AA42" s="24"/>
      <c r="AB42" s="24"/>
      <c r="AC42" s="24"/>
      <c r="AD42" s="24"/>
      <c r="AE42" s="27"/>
      <c r="AF42" s="26"/>
      <c r="AG42" s="24"/>
      <c r="AH42" s="24"/>
      <c r="AI42" s="24"/>
      <c r="AJ42" s="24"/>
      <c r="AK42" s="24"/>
      <c r="AL42" s="27"/>
      <c r="AM42" s="26"/>
      <c r="AN42" s="24"/>
      <c r="AO42" s="24"/>
      <c r="AP42" s="24"/>
      <c r="AQ42" s="24"/>
      <c r="AR42" s="24"/>
      <c r="AS42" s="27"/>
      <c r="AT42" s="26"/>
      <c r="AU42" s="24"/>
      <c r="AV42" s="24"/>
      <c r="AW42" s="24"/>
      <c r="AX42" s="24"/>
      <c r="AY42" s="24"/>
      <c r="AZ42" s="27"/>
      <c r="BA42" s="26"/>
      <c r="BB42" s="24"/>
      <c r="BC42" s="24"/>
      <c r="BD42" s="24"/>
      <c r="BE42" s="24"/>
      <c r="BF42" s="24"/>
      <c r="BG42" s="27"/>
      <c r="BH42" s="26"/>
      <c r="BI42" s="24"/>
      <c r="BJ42" s="24"/>
      <c r="BK42" s="24"/>
      <c r="BL42" s="24"/>
      <c r="BM42" s="24"/>
      <c r="BN42" s="27"/>
      <c r="BO42" s="26"/>
      <c r="BP42" s="24"/>
      <c r="BQ42" s="24"/>
      <c r="BR42" s="24"/>
      <c r="BS42" s="24"/>
      <c r="BT42" s="24"/>
      <c r="BU42" s="27"/>
      <c r="BV42" s="26"/>
      <c r="BW42" s="24"/>
      <c r="BX42" s="24"/>
      <c r="BY42" s="24"/>
      <c r="BZ42" s="24"/>
      <c r="CA42" s="24"/>
      <c r="CB42" s="27"/>
      <c r="CC42" s="26"/>
      <c r="CD42" s="24"/>
      <c r="CE42" s="24"/>
      <c r="CF42" s="24"/>
      <c r="CG42" s="24"/>
      <c r="CH42" s="24"/>
      <c r="CI42" s="27"/>
      <c r="CJ42" s="26"/>
      <c r="CK42" s="24"/>
      <c r="CL42" s="24"/>
      <c r="CM42" s="24"/>
      <c r="CN42" s="24"/>
      <c r="CO42" s="24"/>
      <c r="CP42" s="27"/>
      <c r="CQ42" s="26"/>
      <c r="CR42" s="24"/>
      <c r="CS42" s="27"/>
    </row>
    <row r="43" ht="14.25" customHeight="1">
      <c r="A43" s="36"/>
      <c r="B43" s="20"/>
      <c r="C43" s="37">
        <v>40.0</v>
      </c>
      <c r="D43" s="38"/>
      <c r="E43" s="39">
        <v>6.36675598E8</v>
      </c>
      <c r="F43" s="26"/>
      <c r="G43" s="24"/>
      <c r="H43" s="24"/>
      <c r="I43" s="24"/>
      <c r="J43" s="25"/>
      <c r="K43" s="24"/>
      <c r="L43" s="24"/>
      <c r="M43" s="24"/>
      <c r="N43" s="24"/>
      <c r="O43" s="24"/>
      <c r="P43" s="24"/>
      <c r="Q43" s="27"/>
      <c r="R43" s="26"/>
      <c r="S43" s="24"/>
      <c r="T43" s="24"/>
      <c r="U43" s="24"/>
      <c r="V43" s="24"/>
      <c r="W43" s="24"/>
      <c r="X43" s="27"/>
      <c r="Y43" s="26"/>
      <c r="Z43" s="24"/>
      <c r="AA43" s="24"/>
      <c r="AB43" s="24"/>
      <c r="AC43" s="24"/>
      <c r="AD43" s="24"/>
      <c r="AE43" s="27"/>
      <c r="AF43" s="26"/>
      <c r="AG43" s="24"/>
      <c r="AH43" s="24"/>
      <c r="AI43" s="24"/>
      <c r="AJ43" s="24"/>
      <c r="AK43" s="24"/>
      <c r="AL43" s="27"/>
      <c r="AM43" s="26"/>
      <c r="AN43" s="24"/>
      <c r="AO43" s="24"/>
      <c r="AP43" s="24"/>
      <c r="AQ43" s="24"/>
      <c r="AR43" s="24"/>
      <c r="AS43" s="27"/>
      <c r="AT43" s="26"/>
      <c r="AU43" s="24"/>
      <c r="AV43" s="24"/>
      <c r="AW43" s="24"/>
      <c r="AX43" s="24"/>
      <c r="AY43" s="24"/>
      <c r="AZ43" s="27"/>
      <c r="BA43" s="26"/>
      <c r="BB43" s="24"/>
      <c r="BC43" s="24"/>
      <c r="BD43" s="24"/>
      <c r="BE43" s="24"/>
      <c r="BF43" s="24"/>
      <c r="BG43" s="27"/>
      <c r="BH43" s="26"/>
      <c r="BI43" s="24"/>
      <c r="BJ43" s="24"/>
      <c r="BK43" s="24"/>
      <c r="BL43" s="24"/>
      <c r="BM43" s="24"/>
      <c r="BN43" s="27"/>
      <c r="BO43" s="26"/>
      <c r="BP43" s="24"/>
      <c r="BQ43" s="24"/>
      <c r="BR43" s="24"/>
      <c r="BS43" s="24"/>
      <c r="BT43" s="24"/>
      <c r="BU43" s="27"/>
      <c r="BV43" s="26"/>
      <c r="BW43" s="24"/>
      <c r="BX43" s="24"/>
      <c r="BY43" s="24"/>
      <c r="BZ43" s="24"/>
      <c r="CA43" s="24"/>
      <c r="CB43" s="27"/>
      <c r="CC43" s="26"/>
      <c r="CD43" s="24"/>
      <c r="CE43" s="24"/>
      <c r="CF43" s="24"/>
      <c r="CG43" s="24"/>
      <c r="CH43" s="24"/>
      <c r="CI43" s="27"/>
      <c r="CJ43" s="26"/>
      <c r="CK43" s="24"/>
      <c r="CL43" s="24"/>
      <c r="CM43" s="24"/>
      <c r="CN43" s="24"/>
      <c r="CO43" s="24"/>
      <c r="CP43" s="27"/>
      <c r="CQ43" s="26"/>
      <c r="CR43" s="24"/>
      <c r="CS43" s="27"/>
    </row>
    <row r="44" ht="14.25" customHeight="1">
      <c r="A44" s="32"/>
      <c r="B44" s="20"/>
      <c r="C44" s="20">
        <v>40.0</v>
      </c>
      <c r="D44" s="22"/>
      <c r="E44" s="40"/>
      <c r="F44" s="41"/>
      <c r="G44" s="42"/>
      <c r="H44" s="42"/>
      <c r="I44" s="42"/>
      <c r="J44" s="43"/>
      <c r="K44" s="42"/>
      <c r="L44" s="42"/>
      <c r="M44" s="42"/>
      <c r="N44" s="42"/>
      <c r="O44" s="42"/>
      <c r="P44" s="42"/>
      <c r="Q44" s="44"/>
      <c r="R44" s="41"/>
      <c r="S44" s="42"/>
      <c r="T44" s="42"/>
      <c r="U44" s="42"/>
      <c r="V44" s="42"/>
      <c r="W44" s="42"/>
      <c r="X44" s="44"/>
      <c r="Y44" s="41"/>
      <c r="Z44" s="42"/>
      <c r="AA44" s="42"/>
      <c r="AB44" s="42"/>
      <c r="AC44" s="42"/>
      <c r="AD44" s="42"/>
      <c r="AE44" s="44"/>
      <c r="AF44" s="41"/>
      <c r="AG44" s="42"/>
      <c r="AH44" s="42"/>
      <c r="AI44" s="42"/>
      <c r="AJ44" s="42"/>
      <c r="AK44" s="42"/>
      <c r="AL44" s="44"/>
      <c r="AM44" s="41"/>
      <c r="AN44" s="42"/>
      <c r="AO44" s="42"/>
      <c r="AP44" s="42"/>
      <c r="AQ44" s="42"/>
      <c r="AR44" s="42"/>
      <c r="AS44" s="44"/>
      <c r="AT44" s="41"/>
      <c r="AU44" s="42"/>
      <c r="AV44" s="42"/>
      <c r="AW44" s="42"/>
      <c r="AX44" s="42"/>
      <c r="AY44" s="42"/>
      <c r="AZ44" s="44"/>
      <c r="BA44" s="41"/>
      <c r="BB44" s="42"/>
      <c r="BC44" s="42"/>
      <c r="BD44" s="42"/>
      <c r="BE44" s="42"/>
      <c r="BF44" s="42"/>
      <c r="BG44" s="44"/>
      <c r="BH44" s="41"/>
      <c r="BI44" s="42"/>
      <c r="BJ44" s="42"/>
      <c r="BK44" s="42"/>
      <c r="BL44" s="42"/>
      <c r="BM44" s="42"/>
      <c r="BN44" s="44"/>
      <c r="BO44" s="41"/>
      <c r="BP44" s="42"/>
      <c r="BQ44" s="42"/>
      <c r="BR44" s="42"/>
      <c r="BS44" s="42"/>
      <c r="BT44" s="42"/>
      <c r="BU44" s="44"/>
      <c r="BV44" s="41"/>
      <c r="BW44" s="42"/>
      <c r="BX44" s="42"/>
      <c r="BY44" s="42"/>
      <c r="BZ44" s="42"/>
      <c r="CA44" s="42"/>
      <c r="CB44" s="44"/>
      <c r="CC44" s="41"/>
      <c r="CD44" s="42"/>
      <c r="CE44" s="42"/>
      <c r="CF44" s="42"/>
      <c r="CG44" s="42"/>
      <c r="CH44" s="42"/>
      <c r="CI44" s="44"/>
      <c r="CJ44" s="41"/>
      <c r="CK44" s="42"/>
      <c r="CL44" s="42"/>
      <c r="CM44" s="42"/>
      <c r="CN44" s="42"/>
      <c r="CO44" s="42"/>
      <c r="CP44" s="44"/>
      <c r="CQ44" s="41"/>
      <c r="CR44" s="42"/>
      <c r="CS44" s="44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A2:BG2"/>
    <mergeCell ref="BH2:BN2"/>
    <mergeCell ref="BO2:BU2"/>
    <mergeCell ref="BV2:CB2"/>
    <mergeCell ref="CC2:CI2"/>
    <mergeCell ref="CJ2:CP2"/>
    <mergeCell ref="CQ2:CS2"/>
    <mergeCell ref="F2:J2"/>
    <mergeCell ref="K2:Q2"/>
    <mergeCell ref="R2:X2"/>
    <mergeCell ref="Y2:AE2"/>
    <mergeCell ref="AF2:AL2"/>
    <mergeCell ref="AM2:AS2"/>
    <mergeCell ref="AT2:AZ2"/>
  </mergeCells>
  <printOptions/>
  <pageMargins bottom="0.75" footer="0.0" header="0.0" left="0.7" right="0.7" top="0.75"/>
  <pageSetup orientation="landscape"/>
  <headerFooter>
    <oddFooter>&amp;C_x000D_#000000 [Public]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hidden="1" min="2" max="2" width="9.57"/>
    <col customWidth="1" min="3" max="3" width="20.57"/>
    <col customWidth="1" min="4" max="4" width="1.71"/>
    <col customWidth="1" min="5" max="5" width="20.71"/>
    <col customWidth="1" min="6" max="6" width="20.57"/>
    <col customWidth="1" min="7" max="7" width="1.71"/>
    <col customWidth="1" min="8" max="8" width="22.86"/>
    <col customWidth="1" min="9" max="9" width="20.57"/>
    <col customWidth="1" min="10" max="10" width="1.71"/>
    <col customWidth="1" min="11" max="11" width="20.29"/>
    <col customWidth="1" min="12" max="12" width="20.57"/>
    <col customWidth="1" min="13" max="13" width="1.71"/>
    <col customWidth="1" min="14" max="14" width="21.43"/>
    <col customWidth="1" min="15" max="15" width="20.57"/>
    <col customWidth="1" min="16" max="16" width="1.71"/>
    <col customWidth="1" min="17" max="17" width="19.86"/>
    <col customWidth="1" min="18" max="18" width="20.57"/>
    <col customWidth="1" min="19" max="19" width="1.71"/>
    <col customWidth="1" min="20" max="20" width="21.29"/>
    <col customWidth="1" min="21" max="21" width="20.57"/>
    <col customWidth="1" min="22" max="22" width="10.71"/>
    <col customWidth="1" min="23" max="23" width="15.43"/>
    <col customWidth="1" min="24" max="26" width="10.71"/>
  </cols>
  <sheetData>
    <row r="1" ht="14.25" customHeight="1"/>
    <row r="2" ht="14.25" customHeight="1"/>
    <row r="3" ht="14.25" customHeight="1">
      <c r="A3" s="10" t="s">
        <v>65</v>
      </c>
      <c r="B3" s="12" t="s">
        <v>68</v>
      </c>
      <c r="C3" s="10" t="s">
        <v>100</v>
      </c>
      <c r="D3" s="45"/>
      <c r="E3" s="45"/>
      <c r="F3" s="10" t="s">
        <v>101</v>
      </c>
      <c r="G3" s="45"/>
      <c r="H3" s="45"/>
      <c r="I3" s="10" t="s">
        <v>102</v>
      </c>
      <c r="J3" s="45"/>
      <c r="K3" s="45"/>
      <c r="L3" s="10" t="s">
        <v>103</v>
      </c>
      <c r="M3" s="45"/>
      <c r="N3" s="45"/>
      <c r="O3" s="10" t="s">
        <v>104</v>
      </c>
      <c r="P3" s="45"/>
      <c r="Q3" s="45"/>
      <c r="R3" s="10" t="s">
        <v>105</v>
      </c>
      <c r="S3" s="45"/>
      <c r="T3" s="45"/>
      <c r="U3" s="10" t="s">
        <v>106</v>
      </c>
      <c r="V3" s="10"/>
      <c r="W3" s="10"/>
      <c r="X3" s="10" t="s">
        <v>107</v>
      </c>
    </row>
    <row r="4" ht="14.25" customHeight="1">
      <c r="A4" s="19" t="s">
        <v>70</v>
      </c>
      <c r="B4" s="20" t="s">
        <v>71</v>
      </c>
      <c r="C4" s="46" t="s">
        <v>4</v>
      </c>
      <c r="D4" s="20">
        <v>0.0</v>
      </c>
      <c r="E4" s="21"/>
      <c r="F4" s="47" t="s">
        <v>51</v>
      </c>
      <c r="G4" s="20">
        <v>8.0</v>
      </c>
      <c r="H4" s="21"/>
      <c r="I4" s="47" t="s">
        <v>51</v>
      </c>
      <c r="J4" s="20">
        <v>8.0</v>
      </c>
      <c r="K4" s="21"/>
      <c r="L4" s="47" t="s">
        <v>51</v>
      </c>
      <c r="M4" s="20">
        <v>8.0</v>
      </c>
      <c r="N4" s="21"/>
      <c r="O4" s="47" t="s">
        <v>51</v>
      </c>
      <c r="P4" s="20">
        <v>8.0</v>
      </c>
      <c r="Q4" s="21"/>
      <c r="R4" s="47" t="s">
        <v>51</v>
      </c>
      <c r="S4" s="20">
        <v>8.0</v>
      </c>
      <c r="T4" s="21"/>
      <c r="U4" s="46" t="s">
        <v>4</v>
      </c>
      <c r="V4" s="21">
        <v>0.0</v>
      </c>
      <c r="W4" s="21"/>
      <c r="X4" s="21">
        <v>40.0</v>
      </c>
    </row>
    <row r="5" ht="14.25" customHeight="1">
      <c r="A5" s="19" t="s">
        <v>72</v>
      </c>
      <c r="B5" s="20" t="s">
        <v>73</v>
      </c>
      <c r="C5" s="46" t="s">
        <v>4</v>
      </c>
      <c r="D5" s="20">
        <v>0.0</v>
      </c>
      <c r="E5" s="20"/>
      <c r="F5" s="2" t="s">
        <v>51</v>
      </c>
      <c r="G5" s="20">
        <v>8.0</v>
      </c>
      <c r="H5" s="20"/>
      <c r="I5" s="2" t="s">
        <v>51</v>
      </c>
      <c r="J5" s="20">
        <v>8.0</v>
      </c>
      <c r="K5" s="20"/>
      <c r="L5" s="2" t="s">
        <v>51</v>
      </c>
      <c r="M5" s="20">
        <v>8.0</v>
      </c>
      <c r="N5" s="20"/>
      <c r="O5" s="2" t="s">
        <v>51</v>
      </c>
      <c r="P5" s="20">
        <v>8.0</v>
      </c>
      <c r="Q5" s="20"/>
      <c r="R5" s="2" t="s">
        <v>51</v>
      </c>
      <c r="S5" s="20">
        <v>8.0</v>
      </c>
      <c r="T5" s="20"/>
      <c r="U5" s="48" t="s">
        <v>4</v>
      </c>
      <c r="V5" s="20">
        <v>0.0</v>
      </c>
      <c r="W5" s="20"/>
      <c r="X5" s="20">
        <v>40.0</v>
      </c>
    </row>
    <row r="6" ht="14.25" customHeight="1">
      <c r="A6" s="19" t="s">
        <v>74</v>
      </c>
      <c r="B6" s="20" t="s">
        <v>75</v>
      </c>
      <c r="C6" s="48" t="s">
        <v>4</v>
      </c>
      <c r="D6" s="20">
        <v>0.0</v>
      </c>
      <c r="E6" s="20"/>
      <c r="F6" s="2" t="s">
        <v>17</v>
      </c>
      <c r="G6" s="20">
        <v>8.0</v>
      </c>
      <c r="H6" s="20"/>
      <c r="I6" s="2" t="s">
        <v>17</v>
      </c>
      <c r="J6" s="20">
        <v>8.0</v>
      </c>
      <c r="K6" s="20"/>
      <c r="L6" s="2" t="s">
        <v>17</v>
      </c>
      <c r="M6" s="20">
        <v>8.0</v>
      </c>
      <c r="N6" s="20"/>
      <c r="O6" s="2" t="s">
        <v>17</v>
      </c>
      <c r="P6" s="20">
        <v>8.0</v>
      </c>
      <c r="Q6" s="20"/>
      <c r="R6" s="2" t="s">
        <v>17</v>
      </c>
      <c r="S6" s="20">
        <v>8.0</v>
      </c>
      <c r="T6" s="20"/>
      <c r="U6" s="48" t="s">
        <v>4</v>
      </c>
      <c r="V6" s="20">
        <v>0.0</v>
      </c>
      <c r="W6" s="20"/>
      <c r="X6" s="20">
        <v>40.0</v>
      </c>
    </row>
    <row r="7" ht="14.25" customHeight="1">
      <c r="A7" s="49" t="s">
        <v>76</v>
      </c>
      <c r="B7" s="20" t="s">
        <v>77</v>
      </c>
      <c r="C7" s="48" t="s">
        <v>4</v>
      </c>
      <c r="D7" s="20">
        <v>0.0</v>
      </c>
      <c r="E7" s="20"/>
      <c r="F7" s="48" t="s">
        <v>4</v>
      </c>
      <c r="G7" s="20">
        <v>0.0</v>
      </c>
      <c r="H7" s="21"/>
      <c r="I7" s="47" t="s">
        <v>51</v>
      </c>
      <c r="J7" s="20">
        <v>8.0</v>
      </c>
      <c r="K7" s="21"/>
      <c r="L7" s="47" t="s">
        <v>51</v>
      </c>
      <c r="M7" s="20">
        <v>8.0</v>
      </c>
      <c r="N7" s="21"/>
      <c r="O7" s="47" t="s">
        <v>51</v>
      </c>
      <c r="P7" s="20">
        <v>8.0</v>
      </c>
      <c r="Q7" s="21"/>
      <c r="R7" s="47" t="s">
        <v>51</v>
      </c>
      <c r="S7" s="20">
        <v>8.0</v>
      </c>
      <c r="T7" s="21"/>
      <c r="U7" s="47" t="s">
        <v>51</v>
      </c>
      <c r="V7" s="20">
        <v>8.0</v>
      </c>
      <c r="W7" s="20"/>
      <c r="X7" s="20">
        <v>40.0</v>
      </c>
    </row>
    <row r="8" ht="14.25" customHeight="1">
      <c r="A8" s="31" t="s">
        <v>78</v>
      </c>
      <c r="B8" s="20" t="s">
        <v>79</v>
      </c>
      <c r="C8" s="2" t="s">
        <v>51</v>
      </c>
      <c r="D8" s="20">
        <v>8.0</v>
      </c>
      <c r="E8" s="20"/>
      <c r="F8" s="2" t="s">
        <v>51</v>
      </c>
      <c r="G8" s="20">
        <v>8.0</v>
      </c>
      <c r="H8" s="20"/>
      <c r="I8" s="48" t="s">
        <v>4</v>
      </c>
      <c r="J8" s="20">
        <v>0.0</v>
      </c>
      <c r="K8" s="20"/>
      <c r="L8" s="2" t="s">
        <v>51</v>
      </c>
      <c r="M8" s="20">
        <v>8.0</v>
      </c>
      <c r="N8" s="20"/>
      <c r="O8" s="2" t="s">
        <v>51</v>
      </c>
      <c r="P8" s="20">
        <v>8.0</v>
      </c>
      <c r="Q8" s="20"/>
      <c r="R8" s="2" t="s">
        <v>51</v>
      </c>
      <c r="S8" s="20">
        <v>8.0</v>
      </c>
      <c r="T8" s="20"/>
      <c r="U8" s="48" t="s">
        <v>4</v>
      </c>
      <c r="V8" s="20">
        <v>0.0</v>
      </c>
      <c r="W8" s="20"/>
      <c r="X8" s="20">
        <v>40.0</v>
      </c>
    </row>
    <row r="9" ht="14.25" customHeight="1">
      <c r="A9" s="19" t="s">
        <v>80</v>
      </c>
      <c r="B9" s="20" t="s">
        <v>81</v>
      </c>
      <c r="C9" s="2" t="s">
        <v>64</v>
      </c>
      <c r="D9" s="20">
        <v>8.0</v>
      </c>
      <c r="E9" s="20"/>
      <c r="F9" s="2" t="s">
        <v>64</v>
      </c>
      <c r="G9" s="20">
        <v>8.0</v>
      </c>
      <c r="H9" s="20"/>
      <c r="I9" s="48" t="s">
        <v>4</v>
      </c>
      <c r="J9" s="20">
        <v>0.0</v>
      </c>
      <c r="K9" s="20"/>
      <c r="L9" s="2" t="s">
        <v>64</v>
      </c>
      <c r="M9" s="20">
        <v>8.0</v>
      </c>
      <c r="N9" s="20"/>
      <c r="O9" s="2" t="s">
        <v>11</v>
      </c>
      <c r="P9" s="20">
        <v>8.0</v>
      </c>
      <c r="Q9" s="20"/>
      <c r="R9" s="2" t="s">
        <v>11</v>
      </c>
      <c r="S9" s="20">
        <v>8.0</v>
      </c>
      <c r="T9" s="20"/>
      <c r="U9" s="50" t="s">
        <v>4</v>
      </c>
      <c r="V9" s="20">
        <v>0.0</v>
      </c>
      <c r="W9" s="20"/>
      <c r="X9" s="20">
        <v>40.0</v>
      </c>
    </row>
    <row r="10" ht="14.25" customHeight="1">
      <c r="A10" s="19" t="s">
        <v>82</v>
      </c>
      <c r="B10" s="20" t="s">
        <v>83</v>
      </c>
      <c r="C10" s="2" t="s">
        <v>51</v>
      </c>
      <c r="D10" s="20">
        <v>8.0</v>
      </c>
      <c r="E10" s="20"/>
      <c r="F10" s="2" t="s">
        <v>51</v>
      </c>
      <c r="G10" s="20">
        <v>8.0</v>
      </c>
      <c r="H10" s="20"/>
      <c r="I10" s="48" t="s">
        <v>4</v>
      </c>
      <c r="J10" s="20">
        <v>0.0</v>
      </c>
      <c r="K10" s="20"/>
      <c r="L10" s="2" t="s">
        <v>51</v>
      </c>
      <c r="M10" s="20">
        <v>8.0</v>
      </c>
      <c r="N10" s="20"/>
      <c r="O10" s="2" t="s">
        <v>51</v>
      </c>
      <c r="P10" s="20">
        <v>8.0</v>
      </c>
      <c r="Q10" s="20"/>
      <c r="R10" s="2" t="s">
        <v>51</v>
      </c>
      <c r="S10" s="20">
        <v>8.0</v>
      </c>
      <c r="T10" s="20"/>
      <c r="U10" s="50" t="s">
        <v>4</v>
      </c>
      <c r="V10" s="20">
        <v>0.0</v>
      </c>
      <c r="W10" s="20"/>
      <c r="X10" s="20">
        <v>40.0</v>
      </c>
    </row>
    <row r="11" ht="14.25" customHeight="1">
      <c r="A11" s="19" t="s">
        <v>84</v>
      </c>
      <c r="B11" s="20" t="s">
        <v>85</v>
      </c>
      <c r="C11" s="47" t="s">
        <v>51</v>
      </c>
      <c r="D11" s="20">
        <v>8.0</v>
      </c>
      <c r="E11" s="21"/>
      <c r="F11" s="47" t="s">
        <v>51</v>
      </c>
      <c r="G11" s="20">
        <v>8.0</v>
      </c>
      <c r="H11" s="20"/>
      <c r="I11" s="48" t="s">
        <v>4</v>
      </c>
      <c r="J11" s="20">
        <v>0.0</v>
      </c>
      <c r="K11" s="21"/>
      <c r="L11" s="47" t="s">
        <v>51</v>
      </c>
      <c r="M11" s="20">
        <v>8.0</v>
      </c>
      <c r="N11" s="21"/>
      <c r="O11" s="47" t="s">
        <v>51</v>
      </c>
      <c r="P11" s="20">
        <v>8.0</v>
      </c>
      <c r="Q11" s="21"/>
      <c r="R11" s="47" t="s">
        <v>51</v>
      </c>
      <c r="S11" s="20">
        <v>8.0</v>
      </c>
      <c r="T11" s="20"/>
      <c r="U11" s="48" t="s">
        <v>4</v>
      </c>
      <c r="V11" s="20">
        <v>0.0</v>
      </c>
      <c r="W11" s="20"/>
      <c r="X11" s="20">
        <v>40.0</v>
      </c>
    </row>
    <row r="12" ht="14.25" customHeight="1">
      <c r="A12" s="49" t="s">
        <v>86</v>
      </c>
      <c r="B12" s="20" t="s">
        <v>87</v>
      </c>
      <c r="C12" s="48" t="s">
        <v>4</v>
      </c>
      <c r="D12" s="20">
        <v>0.0</v>
      </c>
      <c r="E12" s="20"/>
      <c r="F12" s="48" t="s">
        <v>4</v>
      </c>
      <c r="G12" s="20">
        <v>0.0</v>
      </c>
      <c r="H12" s="20"/>
      <c r="I12" s="2" t="s">
        <v>17</v>
      </c>
      <c r="J12" s="20">
        <v>8.0</v>
      </c>
      <c r="K12" s="20"/>
      <c r="L12" s="2" t="s">
        <v>17</v>
      </c>
      <c r="M12" s="20">
        <v>8.0</v>
      </c>
      <c r="N12" s="20"/>
      <c r="O12" s="2" t="s">
        <v>17</v>
      </c>
      <c r="P12" s="20">
        <v>8.0</v>
      </c>
      <c r="Q12" s="20"/>
      <c r="R12" s="2" t="s">
        <v>17</v>
      </c>
      <c r="S12" s="20">
        <v>8.0</v>
      </c>
      <c r="T12" s="20"/>
      <c r="U12" s="2" t="s">
        <v>17</v>
      </c>
      <c r="V12" s="20">
        <v>8.0</v>
      </c>
      <c r="W12" s="20"/>
      <c r="X12" s="20">
        <v>40.0</v>
      </c>
    </row>
    <row r="13" ht="14.25" customHeight="1">
      <c r="A13" s="31" t="s">
        <v>88</v>
      </c>
      <c r="B13" s="20" t="s">
        <v>89</v>
      </c>
      <c r="C13" s="2" t="s">
        <v>51</v>
      </c>
      <c r="D13" s="20">
        <v>8.0</v>
      </c>
      <c r="E13" s="20"/>
      <c r="F13" s="48" t="s">
        <v>4</v>
      </c>
      <c r="G13" s="20">
        <v>0.0</v>
      </c>
      <c r="H13" s="20"/>
      <c r="I13" s="2" t="s">
        <v>51</v>
      </c>
      <c r="J13" s="20">
        <v>8.0</v>
      </c>
      <c r="K13" s="20"/>
      <c r="L13" s="2" t="s">
        <v>51</v>
      </c>
      <c r="M13" s="20">
        <v>8.0</v>
      </c>
      <c r="N13" s="20"/>
      <c r="O13" s="2" t="s">
        <v>51</v>
      </c>
      <c r="P13" s="20">
        <v>8.0</v>
      </c>
      <c r="Q13" s="20"/>
      <c r="R13" s="2" t="s">
        <v>51</v>
      </c>
      <c r="S13" s="20">
        <v>8.0</v>
      </c>
      <c r="T13" s="20"/>
      <c r="U13" s="48" t="s">
        <v>4</v>
      </c>
      <c r="V13" s="20">
        <v>0.0</v>
      </c>
      <c r="W13" s="20"/>
      <c r="X13" s="20">
        <v>40.0</v>
      </c>
    </row>
    <row r="14" ht="14.25" customHeight="1">
      <c r="A14" s="31" t="s">
        <v>90</v>
      </c>
      <c r="B14" s="20" t="s">
        <v>108</v>
      </c>
      <c r="C14" s="50" t="s">
        <v>4</v>
      </c>
      <c r="D14" s="20">
        <v>0.0</v>
      </c>
      <c r="E14" s="21"/>
      <c r="F14" s="47" t="s">
        <v>51</v>
      </c>
      <c r="G14" s="20">
        <v>8.0</v>
      </c>
      <c r="H14" s="21"/>
      <c r="I14" s="47" t="s">
        <v>51</v>
      </c>
      <c r="J14" s="20">
        <v>8.0</v>
      </c>
      <c r="K14" s="21"/>
      <c r="L14" s="47" t="s">
        <v>51</v>
      </c>
      <c r="M14" s="20">
        <v>8.0</v>
      </c>
      <c r="N14" s="21"/>
      <c r="O14" s="47" t="s">
        <v>51</v>
      </c>
      <c r="P14" s="20">
        <v>8.0</v>
      </c>
      <c r="Q14" s="21"/>
      <c r="R14" s="47" t="s">
        <v>51</v>
      </c>
      <c r="S14" s="20">
        <v>8.0</v>
      </c>
      <c r="T14" s="20"/>
      <c r="U14" s="48" t="s">
        <v>4</v>
      </c>
      <c r="V14" s="20">
        <v>0.0</v>
      </c>
      <c r="W14" s="20"/>
      <c r="X14" s="20">
        <v>40.0</v>
      </c>
    </row>
    <row r="15" ht="14.25" customHeight="1">
      <c r="A15" s="19" t="s">
        <v>92</v>
      </c>
      <c r="B15" s="20" t="s">
        <v>93</v>
      </c>
      <c r="C15" s="47" t="s">
        <v>51</v>
      </c>
      <c r="D15" s="20">
        <v>8.0</v>
      </c>
      <c r="E15" s="20"/>
      <c r="F15" s="50" t="s">
        <v>4</v>
      </c>
      <c r="G15" s="20">
        <v>0.0</v>
      </c>
      <c r="H15" s="21"/>
      <c r="I15" s="47" t="s">
        <v>51</v>
      </c>
      <c r="J15" s="20">
        <v>8.0</v>
      </c>
      <c r="K15" s="21"/>
      <c r="L15" s="47" t="s">
        <v>51</v>
      </c>
      <c r="M15" s="20">
        <v>8.0</v>
      </c>
      <c r="N15" s="21"/>
      <c r="O15" s="47" t="s">
        <v>51</v>
      </c>
      <c r="P15" s="20">
        <v>8.0</v>
      </c>
      <c r="Q15" s="21"/>
      <c r="R15" s="47" t="s">
        <v>51</v>
      </c>
      <c r="S15" s="20">
        <v>8.0</v>
      </c>
      <c r="T15" s="20"/>
      <c r="U15" s="48" t="s">
        <v>4</v>
      </c>
      <c r="V15" s="20">
        <v>0.0</v>
      </c>
      <c r="W15" s="20"/>
      <c r="X15" s="20">
        <v>40.0</v>
      </c>
    </row>
    <row r="16" ht="14.25" customHeight="1">
      <c r="A16" s="19" t="s">
        <v>94</v>
      </c>
      <c r="B16" s="20" t="s">
        <v>95</v>
      </c>
      <c r="C16" s="2" t="s">
        <v>36</v>
      </c>
      <c r="D16" s="20">
        <v>8.0</v>
      </c>
      <c r="E16" s="20"/>
      <c r="F16" s="48" t="s">
        <v>4</v>
      </c>
      <c r="G16" s="20">
        <v>0.0</v>
      </c>
      <c r="H16" s="20"/>
      <c r="I16" s="2" t="s">
        <v>36</v>
      </c>
      <c r="J16" s="20">
        <v>8.0</v>
      </c>
      <c r="K16" s="20"/>
      <c r="L16" s="2" t="s">
        <v>36</v>
      </c>
      <c r="M16" s="20">
        <v>8.0</v>
      </c>
      <c r="N16" s="20"/>
      <c r="O16" s="2" t="s">
        <v>36</v>
      </c>
      <c r="P16" s="20">
        <v>8.0</v>
      </c>
      <c r="Q16" s="20"/>
      <c r="R16" s="2" t="s">
        <v>36</v>
      </c>
      <c r="S16" s="20">
        <v>8.0</v>
      </c>
      <c r="T16" s="20"/>
      <c r="U16" s="48" t="s">
        <v>4</v>
      </c>
      <c r="V16" s="20">
        <v>0.0</v>
      </c>
      <c r="W16" s="20"/>
      <c r="X16" s="20">
        <v>40.0</v>
      </c>
    </row>
    <row r="17" ht="14.25" customHeight="1">
      <c r="A17" s="19" t="s">
        <v>96</v>
      </c>
      <c r="B17" s="20" t="s">
        <v>97</v>
      </c>
      <c r="C17" s="47" t="s">
        <v>51</v>
      </c>
      <c r="D17" s="20">
        <v>8.0</v>
      </c>
      <c r="E17" s="21"/>
      <c r="F17" s="47" t="s">
        <v>51</v>
      </c>
      <c r="G17" s="20">
        <v>8.0</v>
      </c>
      <c r="H17" s="20"/>
      <c r="I17" s="48" t="s">
        <v>4</v>
      </c>
      <c r="J17" s="20">
        <v>0.0</v>
      </c>
      <c r="K17" s="21"/>
      <c r="L17" s="47" t="s">
        <v>51</v>
      </c>
      <c r="M17" s="20">
        <v>8.0</v>
      </c>
      <c r="N17" s="21"/>
      <c r="O17" s="47" t="s">
        <v>51</v>
      </c>
      <c r="P17" s="20">
        <v>8.0</v>
      </c>
      <c r="Q17" s="21"/>
      <c r="R17" s="47" t="s">
        <v>51</v>
      </c>
      <c r="S17" s="20">
        <v>8.0</v>
      </c>
      <c r="T17" s="20"/>
      <c r="U17" s="50" t="s">
        <v>4</v>
      </c>
      <c r="V17" s="20">
        <v>0.0</v>
      </c>
      <c r="W17" s="20"/>
      <c r="X17" s="20">
        <v>40.0</v>
      </c>
    </row>
    <row r="18" ht="14.25" customHeight="1">
      <c r="A18" s="19" t="s">
        <v>98</v>
      </c>
      <c r="B18" s="51" t="s">
        <v>109</v>
      </c>
      <c r="C18" s="2" t="s">
        <v>51</v>
      </c>
      <c r="D18" s="20">
        <v>8.0</v>
      </c>
      <c r="E18" s="20"/>
      <c r="F18" s="50" t="s">
        <v>4</v>
      </c>
      <c r="G18" s="20">
        <v>0.0</v>
      </c>
      <c r="H18" s="20"/>
      <c r="I18" s="2" t="s">
        <v>51</v>
      </c>
      <c r="J18" s="20">
        <v>8.0</v>
      </c>
      <c r="K18" s="20"/>
      <c r="L18" s="2" t="s">
        <v>51</v>
      </c>
      <c r="M18" s="20">
        <v>8.0</v>
      </c>
      <c r="N18" s="20"/>
      <c r="O18" s="2" t="s">
        <v>51</v>
      </c>
      <c r="P18" s="20">
        <v>8.0</v>
      </c>
      <c r="Q18" s="20"/>
      <c r="R18" s="2" t="s">
        <v>51</v>
      </c>
      <c r="S18" s="20">
        <v>8.0</v>
      </c>
      <c r="T18" s="20"/>
      <c r="U18" s="50" t="s">
        <v>4</v>
      </c>
      <c r="V18" s="35">
        <v>0.0</v>
      </c>
      <c r="W18" s="35"/>
      <c r="X18" s="35">
        <v>40.0</v>
      </c>
    </row>
    <row r="19" ht="14.25" customHeight="1">
      <c r="A19" s="52"/>
      <c r="B19" s="52"/>
      <c r="C19" s="52"/>
      <c r="D19" s="52"/>
      <c r="E19" s="52"/>
      <c r="F19" s="52"/>
      <c r="G19" s="52"/>
      <c r="H19" s="52"/>
    </row>
    <row r="20" ht="14.25" customHeight="1"/>
    <row r="21" ht="14.25" customHeight="1"/>
    <row r="22" ht="14.25" customHeight="1">
      <c r="A22" s="10" t="s">
        <v>65</v>
      </c>
      <c r="B22" s="12" t="s">
        <v>68</v>
      </c>
      <c r="C22" s="10" t="s">
        <v>110</v>
      </c>
      <c r="D22" s="45"/>
      <c r="E22" s="45"/>
      <c r="F22" s="10" t="s">
        <v>111</v>
      </c>
      <c r="G22" s="45"/>
      <c r="H22" s="45"/>
      <c r="I22" s="10" t="s">
        <v>112</v>
      </c>
      <c r="J22" s="45"/>
      <c r="K22" s="45"/>
      <c r="L22" s="10" t="s">
        <v>113</v>
      </c>
      <c r="M22" s="45"/>
      <c r="N22" s="45"/>
      <c r="O22" s="10" t="s">
        <v>114</v>
      </c>
      <c r="P22" s="45"/>
      <c r="Q22" s="45"/>
      <c r="R22" s="10" t="s">
        <v>115</v>
      </c>
      <c r="S22" s="45"/>
      <c r="T22" s="45"/>
      <c r="U22" s="10" t="s">
        <v>116</v>
      </c>
      <c r="V22" s="10"/>
      <c r="W22" s="10"/>
      <c r="X22" s="10" t="s">
        <v>107</v>
      </c>
    </row>
    <row r="23" ht="14.25" customHeight="1">
      <c r="A23" s="19" t="s">
        <v>82</v>
      </c>
      <c r="B23" s="20" t="s">
        <v>83</v>
      </c>
      <c r="C23" s="2" t="s">
        <v>51</v>
      </c>
      <c r="D23" s="20">
        <v>8.0</v>
      </c>
      <c r="E23" s="53" t="s">
        <v>117</v>
      </c>
      <c r="F23" s="2" t="s">
        <v>51</v>
      </c>
      <c r="G23" s="20">
        <v>8.0</v>
      </c>
      <c r="H23" s="54" t="s">
        <v>118</v>
      </c>
      <c r="I23" s="48" t="s">
        <v>4</v>
      </c>
      <c r="J23" s="20">
        <v>0.0</v>
      </c>
      <c r="K23" s="20"/>
      <c r="L23" s="2" t="s">
        <v>51</v>
      </c>
      <c r="M23" s="20">
        <v>8.0</v>
      </c>
      <c r="N23" s="20"/>
      <c r="O23" s="2" t="s">
        <v>51</v>
      </c>
      <c r="P23" s="20">
        <v>8.0</v>
      </c>
      <c r="Q23" s="20"/>
      <c r="R23" s="2" t="s">
        <v>51</v>
      </c>
      <c r="S23" s="20">
        <v>8.0</v>
      </c>
      <c r="T23" s="20"/>
      <c r="U23" s="50" t="s">
        <v>4</v>
      </c>
      <c r="V23" s="20">
        <v>0.0</v>
      </c>
      <c r="W23" s="20"/>
      <c r="X23" s="20">
        <v>40.0</v>
      </c>
    </row>
    <row r="24" ht="14.25" customHeight="1">
      <c r="A24" s="19" t="s">
        <v>84</v>
      </c>
      <c r="B24" s="20" t="s">
        <v>85</v>
      </c>
      <c r="C24" s="47" t="s">
        <v>51</v>
      </c>
      <c r="D24" s="20">
        <v>8.0</v>
      </c>
      <c r="E24" s="55" t="s">
        <v>119</v>
      </c>
      <c r="F24" s="47" t="s">
        <v>51</v>
      </c>
      <c r="G24" s="20">
        <v>8.0</v>
      </c>
      <c r="H24" s="53"/>
      <c r="I24" s="48" t="s">
        <v>4</v>
      </c>
      <c r="J24" s="20">
        <v>0.0</v>
      </c>
      <c r="K24" s="47"/>
      <c r="L24" s="47" t="s">
        <v>51</v>
      </c>
      <c r="M24" s="20">
        <v>8.0</v>
      </c>
      <c r="N24" s="21"/>
      <c r="O24" s="47" t="s">
        <v>51</v>
      </c>
      <c r="P24" s="20">
        <v>8.0</v>
      </c>
      <c r="Q24" s="21"/>
      <c r="R24" s="47" t="s">
        <v>51</v>
      </c>
      <c r="S24" s="20">
        <v>8.0</v>
      </c>
      <c r="T24" s="20"/>
      <c r="U24" s="48" t="s">
        <v>4</v>
      </c>
      <c r="V24" s="20">
        <v>0.0</v>
      </c>
      <c r="W24" s="20"/>
      <c r="X24" s="20">
        <v>40.0</v>
      </c>
    </row>
    <row r="25" ht="14.25" customHeight="1">
      <c r="A25" s="31" t="s">
        <v>88</v>
      </c>
      <c r="B25" s="20" t="s">
        <v>89</v>
      </c>
      <c r="C25" s="2" t="s">
        <v>51</v>
      </c>
      <c r="D25" s="20">
        <v>8.0</v>
      </c>
      <c r="E25" s="54" t="s">
        <v>118</v>
      </c>
      <c r="F25" s="48" t="s">
        <v>4</v>
      </c>
      <c r="G25" s="20">
        <v>0.0</v>
      </c>
      <c r="H25" s="53"/>
      <c r="I25" s="2" t="s">
        <v>51</v>
      </c>
      <c r="J25" s="20">
        <v>8.0</v>
      </c>
      <c r="K25" s="54" t="s">
        <v>120</v>
      </c>
      <c r="L25" s="2" t="s">
        <v>51</v>
      </c>
      <c r="M25" s="20">
        <v>8.0</v>
      </c>
      <c r="N25" s="20"/>
      <c r="O25" s="2" t="s">
        <v>51</v>
      </c>
      <c r="P25" s="20">
        <v>8.0</v>
      </c>
      <c r="Q25" s="20"/>
      <c r="R25" s="2" t="s">
        <v>51</v>
      </c>
      <c r="S25" s="20">
        <v>8.0</v>
      </c>
      <c r="T25" s="53"/>
      <c r="U25" s="48" t="s">
        <v>4</v>
      </c>
      <c r="V25" s="20">
        <v>0.0</v>
      </c>
      <c r="W25" s="20"/>
      <c r="X25" s="20">
        <v>40.0</v>
      </c>
    </row>
    <row r="26" ht="14.25" customHeight="1">
      <c r="A26" s="31" t="s">
        <v>90</v>
      </c>
      <c r="B26" s="20" t="s">
        <v>108</v>
      </c>
      <c r="C26" s="50" t="s">
        <v>4</v>
      </c>
      <c r="D26" s="20">
        <v>0.0</v>
      </c>
      <c r="E26" s="21"/>
      <c r="F26" s="47" t="s">
        <v>51</v>
      </c>
      <c r="G26" s="20">
        <v>8.0</v>
      </c>
      <c r="H26" s="54" t="s">
        <v>118</v>
      </c>
      <c r="I26" s="47" t="s">
        <v>51</v>
      </c>
      <c r="J26" s="20">
        <v>8.0</v>
      </c>
      <c r="K26" s="55" t="s">
        <v>121</v>
      </c>
      <c r="L26" s="47" t="s">
        <v>51</v>
      </c>
      <c r="M26" s="20">
        <v>8.0</v>
      </c>
      <c r="N26" s="21"/>
      <c r="O26" s="47" t="s">
        <v>51</v>
      </c>
      <c r="P26" s="20">
        <v>8.0</v>
      </c>
      <c r="Q26" s="56"/>
      <c r="R26" s="47" t="s">
        <v>51</v>
      </c>
      <c r="S26" s="20">
        <v>8.0</v>
      </c>
      <c r="T26" s="53" t="s">
        <v>122</v>
      </c>
      <c r="U26" s="48" t="s">
        <v>4</v>
      </c>
      <c r="V26" s="20">
        <v>0.0</v>
      </c>
      <c r="W26" s="20"/>
      <c r="X26" s="20">
        <v>40.0</v>
      </c>
    </row>
    <row r="27" ht="14.25" customHeight="1">
      <c r="A27" s="19" t="s">
        <v>70</v>
      </c>
      <c r="B27" s="20" t="s">
        <v>71</v>
      </c>
      <c r="C27" s="47"/>
      <c r="D27" s="20">
        <v>0.0</v>
      </c>
      <c r="E27" s="21"/>
      <c r="F27" s="47" t="s">
        <v>51</v>
      </c>
      <c r="G27" s="20">
        <v>8.0</v>
      </c>
      <c r="H27" s="55" t="s">
        <v>123</v>
      </c>
      <c r="I27" s="47" t="s">
        <v>51</v>
      </c>
      <c r="J27" s="20">
        <v>8.0</v>
      </c>
      <c r="K27" s="55" t="s">
        <v>124</v>
      </c>
      <c r="L27" s="47" t="s">
        <v>51</v>
      </c>
      <c r="M27" s="20">
        <v>8.0</v>
      </c>
      <c r="N27" s="56" t="s">
        <v>125</v>
      </c>
      <c r="O27" s="47" t="s">
        <v>51</v>
      </c>
      <c r="P27" s="20">
        <v>8.0</v>
      </c>
      <c r="Q27" s="55" t="s">
        <v>126</v>
      </c>
      <c r="R27" s="47" t="s">
        <v>51</v>
      </c>
      <c r="S27" s="20">
        <v>8.0</v>
      </c>
      <c r="T27" s="55" t="s">
        <v>127</v>
      </c>
      <c r="U27" s="46" t="s">
        <v>4</v>
      </c>
      <c r="V27" s="21">
        <v>0.0</v>
      </c>
      <c r="W27" s="21"/>
      <c r="X27" s="21">
        <v>40.0</v>
      </c>
    </row>
    <row r="28" ht="14.25" customHeight="1">
      <c r="A28" s="19" t="s">
        <v>74</v>
      </c>
      <c r="B28" s="20" t="s">
        <v>75</v>
      </c>
      <c r="C28" s="2"/>
      <c r="D28" s="20">
        <v>0.0</v>
      </c>
      <c r="E28" s="20"/>
      <c r="F28" s="2"/>
      <c r="G28" s="20">
        <v>8.0</v>
      </c>
      <c r="H28" s="20"/>
      <c r="I28" s="2" t="s">
        <v>17</v>
      </c>
      <c r="J28" s="20">
        <v>8.0</v>
      </c>
      <c r="K28" s="54" t="s">
        <v>128</v>
      </c>
      <c r="L28" s="2" t="s">
        <v>17</v>
      </c>
      <c r="M28" s="20">
        <v>8.0</v>
      </c>
      <c r="N28" s="54" t="s">
        <v>128</v>
      </c>
      <c r="O28" s="2" t="s">
        <v>17</v>
      </c>
      <c r="P28" s="20">
        <v>8.0</v>
      </c>
      <c r="Q28" s="53"/>
      <c r="R28" s="2" t="s">
        <v>17</v>
      </c>
      <c r="S28" s="20">
        <v>8.0</v>
      </c>
      <c r="T28" s="53"/>
      <c r="U28" s="48" t="s">
        <v>4</v>
      </c>
      <c r="V28" s="20">
        <v>0.0</v>
      </c>
      <c r="W28" s="20"/>
      <c r="X28" s="20">
        <v>40.0</v>
      </c>
    </row>
    <row r="29" ht="14.25" customHeight="1">
      <c r="A29" s="49" t="s">
        <v>76</v>
      </c>
      <c r="B29" s="20" t="s">
        <v>77</v>
      </c>
      <c r="C29" s="2"/>
      <c r="D29" s="20">
        <v>0.0</v>
      </c>
      <c r="E29" s="20"/>
      <c r="F29" s="2"/>
      <c r="G29" s="20">
        <v>0.0</v>
      </c>
      <c r="H29" s="21"/>
      <c r="I29" s="47" t="s">
        <v>51</v>
      </c>
      <c r="J29" s="20">
        <v>8.0</v>
      </c>
      <c r="K29" s="55" t="s">
        <v>129</v>
      </c>
      <c r="L29" s="47" t="s">
        <v>51</v>
      </c>
      <c r="M29" s="20">
        <v>8.0</v>
      </c>
      <c r="N29" s="56"/>
      <c r="O29" s="47" t="s">
        <v>51</v>
      </c>
      <c r="P29" s="20">
        <v>8.0</v>
      </c>
      <c r="Q29" s="56"/>
      <c r="R29" s="47" t="s">
        <v>51</v>
      </c>
      <c r="S29" s="20">
        <v>8.0</v>
      </c>
      <c r="T29" s="56"/>
      <c r="U29" s="48" t="s">
        <v>4</v>
      </c>
      <c r="V29" s="20">
        <v>8.0</v>
      </c>
      <c r="W29" s="54" t="s">
        <v>130</v>
      </c>
      <c r="X29" s="20">
        <v>40.0</v>
      </c>
    </row>
    <row r="30" ht="14.25" customHeight="1">
      <c r="A30" s="49" t="s">
        <v>86</v>
      </c>
      <c r="B30" s="20" t="s">
        <v>87</v>
      </c>
      <c r="C30" s="2"/>
      <c r="D30" s="20">
        <v>0.0</v>
      </c>
      <c r="E30" s="20"/>
      <c r="F30" s="2"/>
      <c r="G30" s="20">
        <v>0.0</v>
      </c>
      <c r="H30" s="20"/>
      <c r="I30" s="2" t="s">
        <v>17</v>
      </c>
      <c r="J30" s="20">
        <v>8.0</v>
      </c>
      <c r="K30" s="54" t="s">
        <v>131</v>
      </c>
      <c r="L30" s="2" t="s">
        <v>17</v>
      </c>
      <c r="M30" s="20">
        <v>8.0</v>
      </c>
      <c r="N30" s="54" t="s">
        <v>132</v>
      </c>
      <c r="O30" s="2" t="s">
        <v>17</v>
      </c>
      <c r="P30" s="20">
        <v>8.0</v>
      </c>
      <c r="Q30" s="54" t="s">
        <v>133</v>
      </c>
      <c r="R30" s="2" t="s">
        <v>17</v>
      </c>
      <c r="S30" s="20">
        <v>8.0</v>
      </c>
      <c r="T30" s="20"/>
      <c r="U30" s="2" t="s">
        <v>17</v>
      </c>
      <c r="V30" s="20">
        <v>0.0</v>
      </c>
      <c r="W30" s="20"/>
      <c r="X30" s="20">
        <v>40.0</v>
      </c>
    </row>
    <row r="31" ht="14.25" customHeight="1">
      <c r="A31" s="19" t="s">
        <v>96</v>
      </c>
      <c r="B31" s="20" t="s">
        <v>97</v>
      </c>
      <c r="C31" s="47"/>
      <c r="D31" s="20">
        <v>8.0</v>
      </c>
      <c r="E31" s="21"/>
      <c r="F31" s="47"/>
      <c r="G31" s="20">
        <v>8.0</v>
      </c>
      <c r="H31" s="20"/>
      <c r="I31" s="48" t="s">
        <v>4</v>
      </c>
      <c r="J31" s="20">
        <v>0.0</v>
      </c>
      <c r="K31" s="55"/>
      <c r="L31" s="47" t="s">
        <v>51</v>
      </c>
      <c r="M31" s="20">
        <v>8.0</v>
      </c>
      <c r="N31" s="55" t="s">
        <v>134</v>
      </c>
      <c r="O31" s="47" t="s">
        <v>51</v>
      </c>
      <c r="P31" s="20">
        <v>8.0</v>
      </c>
      <c r="Q31" s="21"/>
      <c r="R31" s="47" t="s">
        <v>51</v>
      </c>
      <c r="S31" s="20">
        <v>8.0</v>
      </c>
      <c r="T31" s="20"/>
      <c r="U31" s="50" t="s">
        <v>4</v>
      </c>
      <c r="V31" s="20">
        <v>0.0</v>
      </c>
      <c r="W31" s="20"/>
      <c r="X31" s="20">
        <v>40.0</v>
      </c>
    </row>
    <row r="32" ht="14.25" customHeight="1">
      <c r="A32" s="19" t="s">
        <v>98</v>
      </c>
      <c r="B32" s="51" t="s">
        <v>99</v>
      </c>
      <c r="C32" s="2"/>
      <c r="D32" s="20">
        <v>8.0</v>
      </c>
      <c r="E32" s="20"/>
      <c r="F32" s="57"/>
      <c r="G32" s="20">
        <v>0.0</v>
      </c>
      <c r="H32" s="20"/>
      <c r="I32" s="2" t="s">
        <v>51</v>
      </c>
      <c r="J32" s="20">
        <v>8.0</v>
      </c>
      <c r="K32" s="54" t="s">
        <v>135</v>
      </c>
      <c r="L32" s="2" t="s">
        <v>51</v>
      </c>
      <c r="M32" s="20">
        <v>8.0</v>
      </c>
      <c r="N32" s="20"/>
      <c r="O32" s="2" t="s">
        <v>51</v>
      </c>
      <c r="P32" s="20">
        <v>8.0</v>
      </c>
      <c r="Q32" s="20"/>
      <c r="R32" s="2" t="s">
        <v>51</v>
      </c>
      <c r="S32" s="20">
        <v>8.0</v>
      </c>
      <c r="T32" s="20"/>
      <c r="U32" s="50" t="s">
        <v>4</v>
      </c>
      <c r="V32" s="35">
        <v>0.0</v>
      </c>
      <c r="W32" s="35"/>
      <c r="X32" s="35">
        <v>40.0</v>
      </c>
    </row>
    <row r="33" ht="14.25" customHeight="1">
      <c r="A33" s="19" t="s">
        <v>72</v>
      </c>
      <c r="B33" s="20" t="s">
        <v>73</v>
      </c>
      <c r="C33" s="47"/>
      <c r="D33" s="20">
        <v>0.0</v>
      </c>
      <c r="E33" s="20"/>
      <c r="F33" s="2"/>
      <c r="G33" s="20">
        <v>8.0</v>
      </c>
      <c r="H33" s="20"/>
      <c r="I33" s="2"/>
      <c r="J33" s="20">
        <v>8.0</v>
      </c>
      <c r="K33" s="2"/>
      <c r="L33" s="2"/>
      <c r="M33" s="20">
        <v>8.0</v>
      </c>
      <c r="N33" s="20"/>
      <c r="O33" s="2" t="s">
        <v>51</v>
      </c>
      <c r="P33" s="20">
        <v>8.0</v>
      </c>
      <c r="Q33" s="20"/>
      <c r="R33" s="2" t="s">
        <v>51</v>
      </c>
      <c r="S33" s="20">
        <v>8.0</v>
      </c>
      <c r="T33" s="20"/>
      <c r="U33" s="48" t="s">
        <v>4</v>
      </c>
      <c r="V33" s="20">
        <v>0.0</v>
      </c>
      <c r="W33" s="20"/>
      <c r="X33" s="20">
        <v>40.0</v>
      </c>
    </row>
    <row r="34" ht="14.25" customHeight="1">
      <c r="A34" s="31" t="s">
        <v>78</v>
      </c>
      <c r="B34" s="20" t="s">
        <v>79</v>
      </c>
      <c r="C34" s="2"/>
      <c r="D34" s="20">
        <v>8.0</v>
      </c>
      <c r="E34" s="20"/>
      <c r="F34" s="2"/>
      <c r="G34" s="20">
        <v>8.0</v>
      </c>
      <c r="H34" s="20"/>
      <c r="I34" s="2"/>
      <c r="J34" s="20">
        <v>0.0</v>
      </c>
      <c r="K34" s="2"/>
      <c r="L34" s="2"/>
      <c r="M34" s="20">
        <v>8.0</v>
      </c>
      <c r="N34" s="20"/>
      <c r="O34" s="2" t="s">
        <v>51</v>
      </c>
      <c r="P34" s="20">
        <v>8.0</v>
      </c>
      <c r="Q34" s="20"/>
      <c r="R34" s="2" t="s">
        <v>51</v>
      </c>
      <c r="S34" s="20">
        <v>8.0</v>
      </c>
      <c r="T34" s="20"/>
      <c r="U34" s="48" t="s">
        <v>4</v>
      </c>
      <c r="V34" s="20">
        <v>0.0</v>
      </c>
      <c r="W34" s="20"/>
      <c r="X34" s="20">
        <v>40.0</v>
      </c>
    </row>
    <row r="35" ht="14.25" customHeight="1">
      <c r="A35" s="19" t="s">
        <v>80</v>
      </c>
      <c r="B35" s="20" t="s">
        <v>81</v>
      </c>
      <c r="C35" s="2"/>
      <c r="D35" s="20">
        <v>8.0</v>
      </c>
      <c r="E35" s="20"/>
      <c r="F35" s="2"/>
      <c r="G35" s="20">
        <v>8.0</v>
      </c>
      <c r="H35" s="20"/>
      <c r="I35" s="2"/>
      <c r="J35" s="20">
        <v>0.0</v>
      </c>
      <c r="K35" s="20"/>
      <c r="L35" s="2"/>
      <c r="M35" s="20">
        <v>8.0</v>
      </c>
      <c r="N35" s="20"/>
      <c r="O35" s="2" t="s">
        <v>11</v>
      </c>
      <c r="P35" s="20">
        <v>8.0</v>
      </c>
      <c r="Q35" s="20"/>
      <c r="R35" s="2" t="s">
        <v>11</v>
      </c>
      <c r="S35" s="20">
        <v>8.0</v>
      </c>
      <c r="T35" s="20"/>
      <c r="U35" s="50" t="s">
        <v>4</v>
      </c>
      <c r="V35" s="20">
        <v>0.0</v>
      </c>
      <c r="W35" s="20"/>
      <c r="X35" s="20">
        <v>40.0</v>
      </c>
    </row>
    <row r="36" ht="14.25" customHeight="1">
      <c r="A36" s="19" t="s">
        <v>92</v>
      </c>
      <c r="B36" s="20" t="s">
        <v>93</v>
      </c>
      <c r="C36" s="47"/>
      <c r="D36" s="20">
        <v>8.0</v>
      </c>
      <c r="E36" s="20"/>
      <c r="F36" s="57"/>
      <c r="G36" s="20">
        <v>0.0</v>
      </c>
      <c r="H36" s="21"/>
      <c r="I36" s="47"/>
      <c r="J36" s="20">
        <v>8.0</v>
      </c>
      <c r="K36" s="21"/>
      <c r="L36" s="47"/>
      <c r="M36" s="20">
        <v>8.0</v>
      </c>
      <c r="N36" s="21"/>
      <c r="O36" s="47" t="s">
        <v>51</v>
      </c>
      <c r="P36" s="20">
        <v>8.0</v>
      </c>
      <c r="Q36" s="21" t="s">
        <v>136</v>
      </c>
      <c r="R36" s="47" t="s">
        <v>51</v>
      </c>
      <c r="S36" s="20">
        <v>8.0</v>
      </c>
      <c r="T36" s="20"/>
      <c r="U36" s="48" t="s">
        <v>4</v>
      </c>
      <c r="V36" s="20">
        <v>0.0</v>
      </c>
      <c r="W36" s="20"/>
      <c r="X36" s="20">
        <v>40.0</v>
      </c>
    </row>
    <row r="37" ht="14.25" customHeight="1">
      <c r="A37" s="19" t="s">
        <v>94</v>
      </c>
      <c r="B37" s="20" t="s">
        <v>95</v>
      </c>
      <c r="C37" s="2"/>
      <c r="D37" s="20">
        <v>8.0</v>
      </c>
      <c r="E37" s="20"/>
      <c r="F37" s="2"/>
      <c r="G37" s="20">
        <v>0.0</v>
      </c>
      <c r="H37" s="20"/>
      <c r="I37" s="2"/>
      <c r="J37" s="20">
        <v>8.0</v>
      </c>
      <c r="K37" s="20"/>
      <c r="L37" s="2"/>
      <c r="M37" s="20">
        <v>8.0</v>
      </c>
      <c r="N37" s="20"/>
      <c r="O37" s="2" t="s">
        <v>36</v>
      </c>
      <c r="P37" s="20">
        <v>8.0</v>
      </c>
      <c r="Q37" s="20"/>
      <c r="R37" s="2" t="s">
        <v>36</v>
      </c>
      <c r="S37" s="20">
        <v>8.0</v>
      </c>
      <c r="T37" s="20"/>
      <c r="U37" s="48" t="s">
        <v>4</v>
      </c>
      <c r="V37" s="20">
        <v>0.0</v>
      </c>
      <c r="W37" s="20"/>
      <c r="X37" s="20">
        <v>40.0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X4:X18">
    <cfRule type="cellIs" dxfId="0" priority="1" operator="notEqual">
      <formula>40</formula>
    </cfRule>
  </conditionalFormatting>
  <conditionalFormatting sqref="X23:X37">
    <cfRule type="cellIs" dxfId="0" priority="2" operator="notEqual">
      <formula>40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9.86"/>
    <col customWidth="1" min="3" max="3" width="1.71"/>
    <col customWidth="1" min="4" max="4" width="24.71"/>
    <col customWidth="1" min="5" max="5" width="1.71"/>
    <col customWidth="1" min="6" max="6" width="28.71"/>
    <col customWidth="1" min="7" max="7" width="1.71"/>
    <col customWidth="1" min="8" max="8" width="29.86"/>
    <col customWidth="1" min="9" max="9" width="1.71"/>
    <col customWidth="1" min="10" max="10" width="25.0"/>
    <col customWidth="1" min="11" max="11" width="1.71"/>
    <col customWidth="1" min="12" max="12" width="30.14"/>
    <col customWidth="1" min="13" max="13" width="2.71"/>
    <col customWidth="1" min="14" max="14" width="27.86"/>
    <col customWidth="1" min="15" max="15" width="1.71"/>
    <col customWidth="1" min="16" max="16" width="10.71"/>
    <col customWidth="1" min="17" max="17" width="40.43"/>
    <col customWidth="1" min="18" max="18" width="10.71"/>
    <col customWidth="1" min="19" max="19" width="24.14"/>
    <col customWidth="1" min="20" max="20" width="22.86"/>
    <col customWidth="1" min="21" max="21" width="1.71"/>
    <col customWidth="1" min="22" max="22" width="22.29"/>
    <col customWidth="1" min="23" max="23" width="1.71"/>
    <col customWidth="1" min="24" max="24" width="18.29"/>
    <col customWidth="1" min="25" max="25" width="1.71"/>
    <col customWidth="1" min="26" max="26" width="22.0"/>
    <col customWidth="1" min="27" max="27" width="1.71"/>
    <col customWidth="1" min="28" max="28" width="21.14"/>
    <col customWidth="1" min="29" max="29" width="1.71"/>
    <col customWidth="1" min="30" max="30" width="20.86"/>
    <col customWidth="1" min="31" max="31" width="1.71"/>
    <col customWidth="1" min="32" max="32" width="19.71"/>
    <col customWidth="1" min="33" max="33" width="1.71"/>
    <col customWidth="1" min="34" max="35" width="10.71"/>
  </cols>
  <sheetData>
    <row r="1" ht="14.25" customHeight="1">
      <c r="A1" s="58" t="s">
        <v>137</v>
      </c>
      <c r="AI1" s="59"/>
    </row>
    <row r="2" ht="14.25" customHeight="1">
      <c r="A2" s="10" t="s">
        <v>65</v>
      </c>
      <c r="B2" s="10" t="s">
        <v>100</v>
      </c>
      <c r="C2" s="45"/>
      <c r="D2" s="10" t="s">
        <v>101</v>
      </c>
      <c r="E2" s="45"/>
      <c r="F2" s="10" t="s">
        <v>102</v>
      </c>
      <c r="G2" s="45"/>
      <c r="H2" s="10" t="s">
        <v>103</v>
      </c>
      <c r="I2" s="45"/>
      <c r="J2" s="10" t="s">
        <v>104</v>
      </c>
      <c r="K2" s="45"/>
      <c r="L2" s="10" t="s">
        <v>105</v>
      </c>
      <c r="M2" s="45"/>
      <c r="N2" s="10" t="s">
        <v>106</v>
      </c>
      <c r="O2" s="10"/>
      <c r="P2" s="10" t="s">
        <v>107</v>
      </c>
      <c r="Q2" s="60" t="s">
        <v>138</v>
      </c>
      <c r="AI2" s="59"/>
    </row>
    <row r="3" ht="14.25" customHeight="1">
      <c r="A3" s="19" t="s">
        <v>82</v>
      </c>
      <c r="B3" s="2" t="s">
        <v>51</v>
      </c>
      <c r="C3" s="20">
        <v>8.0</v>
      </c>
      <c r="D3" s="2" t="s">
        <v>51</v>
      </c>
      <c r="E3" s="20">
        <v>8.0</v>
      </c>
      <c r="F3" s="50" t="s">
        <v>4</v>
      </c>
      <c r="G3" s="20">
        <v>0.0</v>
      </c>
      <c r="H3" s="2" t="s">
        <v>51</v>
      </c>
      <c r="I3" s="20">
        <v>8.0</v>
      </c>
      <c r="J3" s="2" t="s">
        <v>51</v>
      </c>
      <c r="K3" s="20">
        <v>8.0</v>
      </c>
      <c r="L3" s="2" t="s">
        <v>51</v>
      </c>
      <c r="M3" s="20">
        <v>8.0</v>
      </c>
      <c r="N3" s="50" t="s">
        <v>4</v>
      </c>
      <c r="O3" s="20">
        <v>0.0</v>
      </c>
      <c r="P3" s="21">
        <f t="shared" ref="P3:P17" si="1">SUM(C3+E3+G3+I3+K3+M3+O3)</f>
        <v>40</v>
      </c>
      <c r="Q3" s="61"/>
      <c r="AI3" s="59"/>
    </row>
    <row r="4" ht="14.25" customHeight="1">
      <c r="A4" s="31" t="s">
        <v>90</v>
      </c>
      <c r="B4" s="50" t="s">
        <v>4</v>
      </c>
      <c r="C4" s="20">
        <v>0.0</v>
      </c>
      <c r="D4" s="50" t="s">
        <v>4</v>
      </c>
      <c r="E4" s="20">
        <v>0.0</v>
      </c>
      <c r="F4" s="47" t="s">
        <v>51</v>
      </c>
      <c r="G4" s="20">
        <v>8.0</v>
      </c>
      <c r="H4" s="47" t="s">
        <v>51</v>
      </c>
      <c r="I4" s="20">
        <v>8.0</v>
      </c>
      <c r="J4" s="47" t="s">
        <v>51</v>
      </c>
      <c r="K4" s="20">
        <v>8.0</v>
      </c>
      <c r="L4" s="47" t="s">
        <v>51</v>
      </c>
      <c r="M4" s="20">
        <v>8.0</v>
      </c>
      <c r="N4" s="2" t="s">
        <v>17</v>
      </c>
      <c r="O4" s="20">
        <v>8.0</v>
      </c>
      <c r="P4" s="21">
        <f t="shared" si="1"/>
        <v>40</v>
      </c>
      <c r="Q4" s="61"/>
      <c r="AI4" s="59"/>
    </row>
    <row r="5" ht="14.25" customHeight="1">
      <c r="A5" s="31" t="s">
        <v>88</v>
      </c>
      <c r="B5" s="50" t="s">
        <v>4</v>
      </c>
      <c r="C5" s="20">
        <v>0.0</v>
      </c>
      <c r="D5" s="2" t="s">
        <v>36</v>
      </c>
      <c r="E5" s="20">
        <v>8.0</v>
      </c>
      <c r="F5" s="2" t="s">
        <v>36</v>
      </c>
      <c r="G5" s="20">
        <v>8.0</v>
      </c>
      <c r="H5" s="2" t="s">
        <v>36</v>
      </c>
      <c r="I5" s="20">
        <v>8.0</v>
      </c>
      <c r="J5" s="2" t="s">
        <v>36</v>
      </c>
      <c r="K5" s="20">
        <v>8.0</v>
      </c>
      <c r="L5" s="2" t="s">
        <v>36</v>
      </c>
      <c r="M5" s="20">
        <v>8.0</v>
      </c>
      <c r="N5" s="2" t="s">
        <v>36</v>
      </c>
      <c r="O5" s="20">
        <v>8.0</v>
      </c>
      <c r="P5" s="21">
        <f t="shared" si="1"/>
        <v>48</v>
      </c>
      <c r="Q5" s="61"/>
      <c r="AI5" s="59"/>
    </row>
    <row r="6" ht="14.25" customHeight="1">
      <c r="A6" s="19" t="s">
        <v>70</v>
      </c>
      <c r="B6" s="47" t="s">
        <v>51</v>
      </c>
      <c r="C6" s="20">
        <v>8.0</v>
      </c>
      <c r="D6" s="47" t="s">
        <v>51</v>
      </c>
      <c r="E6" s="20">
        <v>8.0</v>
      </c>
      <c r="F6" s="47" t="s">
        <v>51</v>
      </c>
      <c r="G6" s="20">
        <v>8.0</v>
      </c>
      <c r="H6" s="47" t="s">
        <v>51</v>
      </c>
      <c r="I6" s="20">
        <v>8.0</v>
      </c>
      <c r="J6" s="47" t="s">
        <v>51</v>
      </c>
      <c r="K6" s="20">
        <v>8.0</v>
      </c>
      <c r="L6" s="47" t="s">
        <v>51</v>
      </c>
      <c r="M6" s="20">
        <v>8.0</v>
      </c>
      <c r="N6" s="46" t="s">
        <v>4</v>
      </c>
      <c r="O6" s="21">
        <v>0.0</v>
      </c>
      <c r="P6" s="21">
        <f t="shared" si="1"/>
        <v>48</v>
      </c>
      <c r="Q6" s="61"/>
      <c r="AI6" s="59"/>
    </row>
    <row r="7" ht="14.25" customHeight="1">
      <c r="A7" s="19" t="s">
        <v>72</v>
      </c>
      <c r="B7" s="46" t="s">
        <v>4</v>
      </c>
      <c r="C7" s="20">
        <v>0.0</v>
      </c>
      <c r="D7" s="2" t="s">
        <v>51</v>
      </c>
      <c r="E7" s="20">
        <v>8.0</v>
      </c>
      <c r="F7" s="2" t="s">
        <v>51</v>
      </c>
      <c r="G7" s="20">
        <v>8.0</v>
      </c>
      <c r="H7" s="2" t="s">
        <v>51</v>
      </c>
      <c r="I7" s="20">
        <v>8.0</v>
      </c>
      <c r="J7" s="2" t="s">
        <v>51</v>
      </c>
      <c r="K7" s="20">
        <v>8.0</v>
      </c>
      <c r="L7" s="2" t="s">
        <v>51</v>
      </c>
      <c r="M7" s="20">
        <v>8.0</v>
      </c>
      <c r="N7" s="2" t="s">
        <v>51</v>
      </c>
      <c r="O7" s="20">
        <v>8.0</v>
      </c>
      <c r="P7" s="21">
        <f t="shared" si="1"/>
        <v>48</v>
      </c>
      <c r="Q7" s="62" t="s">
        <v>139</v>
      </c>
      <c r="AI7" s="59"/>
    </row>
    <row r="8" ht="14.25" customHeight="1">
      <c r="A8" s="19" t="s">
        <v>96</v>
      </c>
      <c r="B8" s="47" t="s">
        <v>51</v>
      </c>
      <c r="C8" s="20">
        <v>8.0</v>
      </c>
      <c r="D8" s="50" t="s">
        <v>4</v>
      </c>
      <c r="E8" s="20">
        <v>0.0</v>
      </c>
      <c r="F8" s="47" t="s">
        <v>51</v>
      </c>
      <c r="G8" s="20">
        <v>0.0</v>
      </c>
      <c r="H8" s="47" t="s">
        <v>51</v>
      </c>
      <c r="I8" s="20">
        <v>8.0</v>
      </c>
      <c r="J8" s="47" t="s">
        <v>51</v>
      </c>
      <c r="K8" s="20">
        <v>8.0</v>
      </c>
      <c r="L8" s="47" t="s">
        <v>51</v>
      </c>
      <c r="M8" s="20">
        <v>8.0</v>
      </c>
      <c r="N8" s="47" t="s">
        <v>51</v>
      </c>
      <c r="O8" s="20">
        <v>8.0</v>
      </c>
      <c r="P8" s="21">
        <f t="shared" si="1"/>
        <v>40</v>
      </c>
      <c r="Q8" s="61"/>
      <c r="AI8" s="59"/>
    </row>
    <row r="9" ht="14.25" customHeight="1">
      <c r="A9" s="19" t="s">
        <v>92</v>
      </c>
      <c r="B9" s="47" t="s">
        <v>51</v>
      </c>
      <c r="C9" s="20">
        <v>8.0</v>
      </c>
      <c r="D9" s="50" t="s">
        <v>4</v>
      </c>
      <c r="E9" s="20">
        <v>0.0</v>
      </c>
      <c r="F9" s="47" t="s">
        <v>51</v>
      </c>
      <c r="G9" s="20">
        <v>8.0</v>
      </c>
      <c r="H9" s="47" t="s">
        <v>51</v>
      </c>
      <c r="I9" s="20">
        <v>8.0</v>
      </c>
      <c r="J9" s="47" t="s">
        <v>51</v>
      </c>
      <c r="K9" s="20">
        <v>8.0</v>
      </c>
      <c r="L9" s="47" t="s">
        <v>51</v>
      </c>
      <c r="M9" s="20">
        <v>8.0</v>
      </c>
      <c r="N9" s="2" t="s">
        <v>17</v>
      </c>
      <c r="O9" s="20">
        <v>8.0</v>
      </c>
      <c r="P9" s="21">
        <f t="shared" si="1"/>
        <v>48</v>
      </c>
      <c r="Q9" s="61"/>
      <c r="AI9" s="59"/>
    </row>
    <row r="10" ht="14.25" customHeight="1">
      <c r="A10" s="49" t="s">
        <v>76</v>
      </c>
      <c r="B10" s="48" t="s">
        <v>4</v>
      </c>
      <c r="C10" s="20">
        <v>0.0</v>
      </c>
      <c r="D10" s="47" t="s">
        <v>51</v>
      </c>
      <c r="E10" s="20">
        <v>0.0</v>
      </c>
      <c r="F10" s="47" t="s">
        <v>51</v>
      </c>
      <c r="G10" s="20">
        <v>8.0</v>
      </c>
      <c r="H10" s="47" t="s">
        <v>51</v>
      </c>
      <c r="I10" s="20">
        <v>8.0</v>
      </c>
      <c r="J10" s="47" t="s">
        <v>51</v>
      </c>
      <c r="K10" s="20">
        <v>8.0</v>
      </c>
      <c r="L10" s="47" t="s">
        <v>51</v>
      </c>
      <c r="M10" s="20">
        <v>8.0</v>
      </c>
      <c r="N10" s="47" t="s">
        <v>51</v>
      </c>
      <c r="O10" s="20">
        <v>8.0</v>
      </c>
      <c r="P10" s="21">
        <f t="shared" si="1"/>
        <v>40</v>
      </c>
      <c r="Q10" s="61"/>
      <c r="AI10" s="59"/>
    </row>
    <row r="11" ht="14.25" customHeight="1">
      <c r="A11" s="19" t="s">
        <v>74</v>
      </c>
      <c r="B11" s="2" t="s">
        <v>17</v>
      </c>
      <c r="C11" s="20">
        <v>8.0</v>
      </c>
      <c r="D11" s="2" t="s">
        <v>17</v>
      </c>
      <c r="E11" s="20">
        <v>8.0</v>
      </c>
      <c r="F11" s="2" t="s">
        <v>17</v>
      </c>
      <c r="G11" s="20">
        <v>5.0</v>
      </c>
      <c r="H11" s="2" t="s">
        <v>17</v>
      </c>
      <c r="I11" s="20">
        <v>8.0</v>
      </c>
      <c r="J11" s="2" t="s">
        <v>17</v>
      </c>
      <c r="K11" s="20">
        <v>8.0</v>
      </c>
      <c r="L11" s="2" t="s">
        <v>17</v>
      </c>
      <c r="M11" s="20">
        <v>8.0</v>
      </c>
      <c r="N11" s="48" t="s">
        <v>4</v>
      </c>
      <c r="O11" s="20">
        <v>0.0</v>
      </c>
      <c r="P11" s="21">
        <f t="shared" si="1"/>
        <v>45</v>
      </c>
      <c r="Q11" s="61"/>
      <c r="AI11" s="59"/>
    </row>
    <row r="12" ht="14.25" customHeight="1">
      <c r="A12" s="19" t="s">
        <v>84</v>
      </c>
      <c r="B12" s="47" t="s">
        <v>51</v>
      </c>
      <c r="C12" s="20">
        <v>8.0</v>
      </c>
      <c r="D12" s="47" t="s">
        <v>51</v>
      </c>
      <c r="E12" s="20">
        <v>8.0</v>
      </c>
      <c r="F12" s="47" t="s">
        <v>51</v>
      </c>
      <c r="G12" s="20">
        <v>8.0</v>
      </c>
      <c r="H12" s="47" t="s">
        <v>51</v>
      </c>
      <c r="I12" s="20">
        <v>8.0</v>
      </c>
      <c r="J12" s="47" t="s">
        <v>51</v>
      </c>
      <c r="K12" s="20">
        <v>8.0</v>
      </c>
      <c r="L12" s="47" t="s">
        <v>51</v>
      </c>
      <c r="M12" s="20">
        <v>8.0</v>
      </c>
      <c r="N12" s="48" t="s">
        <v>4</v>
      </c>
      <c r="O12" s="20">
        <v>0.0</v>
      </c>
      <c r="P12" s="21">
        <f t="shared" si="1"/>
        <v>48</v>
      </c>
      <c r="Q12" s="61"/>
      <c r="AI12" s="59"/>
    </row>
    <row r="13" ht="14.25" customHeight="1">
      <c r="A13" s="19" t="s">
        <v>98</v>
      </c>
      <c r="B13" s="2" t="s">
        <v>51</v>
      </c>
      <c r="C13" s="20">
        <v>8.0</v>
      </c>
      <c r="D13" s="2" t="s">
        <v>51</v>
      </c>
      <c r="E13" s="20">
        <v>8.0</v>
      </c>
      <c r="F13" s="2" t="s">
        <v>51</v>
      </c>
      <c r="G13" s="20">
        <v>8.0</v>
      </c>
      <c r="H13" s="2" t="s">
        <v>51</v>
      </c>
      <c r="I13" s="20">
        <v>8.0</v>
      </c>
      <c r="J13" s="2" t="s">
        <v>36</v>
      </c>
      <c r="K13" s="20">
        <v>8.0</v>
      </c>
      <c r="L13" s="2" t="s">
        <v>36</v>
      </c>
      <c r="M13" s="20">
        <v>8.0</v>
      </c>
      <c r="N13" s="2" t="s">
        <v>36</v>
      </c>
      <c r="O13" s="20">
        <v>8.0</v>
      </c>
      <c r="P13" s="21">
        <f t="shared" si="1"/>
        <v>56</v>
      </c>
      <c r="Q13" s="63" t="s">
        <v>140</v>
      </c>
      <c r="AI13" s="59"/>
    </row>
    <row r="14" ht="14.25" customHeight="1">
      <c r="A14" s="19" t="s">
        <v>80</v>
      </c>
      <c r="B14" s="2" t="s">
        <v>64</v>
      </c>
      <c r="C14" s="20">
        <v>8.0</v>
      </c>
      <c r="D14" s="2" t="s">
        <v>64</v>
      </c>
      <c r="E14" s="20">
        <v>8.0</v>
      </c>
      <c r="F14" s="2" t="s">
        <v>64</v>
      </c>
      <c r="G14" s="64">
        <v>0.0</v>
      </c>
      <c r="H14" s="2" t="s">
        <v>64</v>
      </c>
      <c r="I14" s="20">
        <v>8.0</v>
      </c>
      <c r="J14" s="2" t="s">
        <v>11</v>
      </c>
      <c r="K14" s="20">
        <v>8.0</v>
      </c>
      <c r="L14" s="2" t="s">
        <v>11</v>
      </c>
      <c r="M14" s="20">
        <v>8.0</v>
      </c>
      <c r="N14" s="50" t="s">
        <v>4</v>
      </c>
      <c r="O14" s="20">
        <v>0.0</v>
      </c>
      <c r="P14" s="21">
        <f t="shared" si="1"/>
        <v>40</v>
      </c>
      <c r="Q14" s="61"/>
      <c r="AI14" s="59"/>
    </row>
    <row r="15" ht="14.25" customHeight="1">
      <c r="A15" s="31" t="s">
        <v>78</v>
      </c>
      <c r="B15" s="2" t="s">
        <v>51</v>
      </c>
      <c r="C15" s="20">
        <v>8.0</v>
      </c>
      <c r="D15" s="2" t="s">
        <v>51</v>
      </c>
      <c r="E15" s="20">
        <v>8.0</v>
      </c>
      <c r="F15" s="2" t="s">
        <v>51</v>
      </c>
      <c r="G15" s="20">
        <v>8.0</v>
      </c>
      <c r="H15" s="2" t="s">
        <v>51</v>
      </c>
      <c r="I15" s="20">
        <v>8.0</v>
      </c>
      <c r="J15" s="2" t="s">
        <v>51</v>
      </c>
      <c r="K15" s="20">
        <v>8.0</v>
      </c>
      <c r="L15" s="2" t="s">
        <v>51</v>
      </c>
      <c r="M15" s="20">
        <v>8.0</v>
      </c>
      <c r="N15" s="48" t="s">
        <v>4</v>
      </c>
      <c r="O15" s="20">
        <v>0.0</v>
      </c>
      <c r="P15" s="21">
        <f t="shared" si="1"/>
        <v>48</v>
      </c>
      <c r="Q15" s="61"/>
      <c r="AI15" s="59"/>
    </row>
    <row r="16" ht="14.25" customHeight="1">
      <c r="A16" s="19" t="s">
        <v>94</v>
      </c>
      <c r="B16" s="2" t="s">
        <v>36</v>
      </c>
      <c r="C16" s="20">
        <v>8.0</v>
      </c>
      <c r="D16" s="2" t="s">
        <v>36</v>
      </c>
      <c r="E16" s="20">
        <v>8.0</v>
      </c>
      <c r="F16" s="2" t="s">
        <v>141</v>
      </c>
      <c r="G16" s="20">
        <v>8.0</v>
      </c>
      <c r="H16" s="2" t="s">
        <v>36</v>
      </c>
      <c r="I16" s="20">
        <v>8.0</v>
      </c>
      <c r="J16" s="2" t="s">
        <v>36</v>
      </c>
      <c r="K16" s="20">
        <v>8.0</v>
      </c>
      <c r="L16" s="65" t="s">
        <v>36</v>
      </c>
      <c r="M16" s="64">
        <v>8.0</v>
      </c>
      <c r="N16" s="48" t="s">
        <v>4</v>
      </c>
      <c r="O16" s="20">
        <v>0.0</v>
      </c>
      <c r="P16" s="21">
        <f t="shared" si="1"/>
        <v>48</v>
      </c>
      <c r="Q16" s="62" t="s">
        <v>142</v>
      </c>
      <c r="AI16" s="59"/>
    </row>
    <row r="17" ht="14.25" customHeight="1">
      <c r="A17" s="49" t="s">
        <v>86</v>
      </c>
      <c r="B17" s="48" t="s">
        <v>4</v>
      </c>
      <c r="C17" s="20">
        <v>0.0</v>
      </c>
      <c r="D17" s="2" t="s">
        <v>17</v>
      </c>
      <c r="E17" s="20">
        <v>8.0</v>
      </c>
      <c r="F17" s="2" t="s">
        <v>17</v>
      </c>
      <c r="G17" s="20">
        <v>8.0</v>
      </c>
      <c r="H17" s="2" t="s">
        <v>17</v>
      </c>
      <c r="I17" s="20">
        <v>8.0</v>
      </c>
      <c r="J17" s="2" t="s">
        <v>17</v>
      </c>
      <c r="K17" s="20">
        <v>8.0</v>
      </c>
      <c r="L17" s="2" t="s">
        <v>17</v>
      </c>
      <c r="M17" s="20">
        <v>8.0</v>
      </c>
      <c r="N17" s="2" t="s">
        <v>17</v>
      </c>
      <c r="O17" s="20">
        <v>8.0</v>
      </c>
      <c r="P17" s="21">
        <f t="shared" si="1"/>
        <v>48</v>
      </c>
      <c r="Q17" s="61"/>
      <c r="AI17" s="59"/>
    </row>
    <row r="18" ht="14.25" customHeight="1"/>
    <row r="19" ht="14.25" customHeight="1">
      <c r="A19" s="66" t="s">
        <v>143</v>
      </c>
      <c r="B19" s="67"/>
    </row>
    <row r="20" ht="14.25" customHeight="1">
      <c r="A20" s="10" t="s">
        <v>65</v>
      </c>
      <c r="B20" s="10" t="s">
        <v>144</v>
      </c>
      <c r="C20" s="45"/>
      <c r="D20" s="10" t="s">
        <v>145</v>
      </c>
      <c r="E20" s="45"/>
      <c r="F20" s="10" t="s">
        <v>146</v>
      </c>
      <c r="G20" s="45"/>
      <c r="H20" s="10" t="s">
        <v>147</v>
      </c>
      <c r="I20" s="45"/>
      <c r="J20" s="10" t="s">
        <v>148</v>
      </c>
      <c r="K20" s="45"/>
      <c r="L20" s="10" t="s">
        <v>149</v>
      </c>
      <c r="M20" s="45"/>
      <c r="N20" s="10" t="s">
        <v>150</v>
      </c>
      <c r="O20" s="10"/>
      <c r="P20" s="10" t="s">
        <v>107</v>
      </c>
      <c r="Q20" s="60" t="s">
        <v>138</v>
      </c>
    </row>
    <row r="21" ht="14.25" customHeight="1">
      <c r="A21" s="19" t="s">
        <v>82</v>
      </c>
      <c r="B21" s="68"/>
      <c r="C21" s="69">
        <v>0.0</v>
      </c>
      <c r="D21" s="70"/>
      <c r="E21" s="71">
        <v>0.0</v>
      </c>
      <c r="F21" s="70"/>
      <c r="G21" s="71">
        <v>0.0</v>
      </c>
      <c r="H21" s="2" t="s">
        <v>51</v>
      </c>
      <c r="I21" s="20">
        <v>8.0</v>
      </c>
      <c r="J21" s="2" t="s">
        <v>51</v>
      </c>
      <c r="K21" s="20">
        <v>8.0</v>
      </c>
      <c r="L21" s="2" t="s">
        <v>51</v>
      </c>
      <c r="M21" s="21">
        <v>8.0</v>
      </c>
      <c r="N21" s="46" t="s">
        <v>4</v>
      </c>
      <c r="O21" s="21">
        <f>VLOOKUP(N21, 'horarios BBDD'!$A:$B,2,0)</f>
        <v>0</v>
      </c>
      <c r="P21" s="21">
        <f t="shared" ref="P21:P35" si="2">O21+M21+K21+I21+G21+E21+C21</f>
        <v>24</v>
      </c>
      <c r="Q21" s="61"/>
      <c r="R21" s="59"/>
    </row>
    <row r="22" ht="14.25" customHeight="1">
      <c r="A22" s="31" t="s">
        <v>90</v>
      </c>
      <c r="B22" s="47" t="s">
        <v>51</v>
      </c>
      <c r="C22" s="20">
        <v>8.0</v>
      </c>
      <c r="D22" s="47" t="s">
        <v>51</v>
      </c>
      <c r="E22" s="20">
        <v>8.0</v>
      </c>
      <c r="F22" s="46" t="s">
        <v>4</v>
      </c>
      <c r="G22" s="21">
        <f>VLOOKUP(F22, 'horarios BBDD'!$A:$B,2,0)</f>
        <v>0</v>
      </c>
      <c r="H22" s="47" t="s">
        <v>51</v>
      </c>
      <c r="I22" s="20">
        <v>8.0</v>
      </c>
      <c r="J22" s="2" t="s">
        <v>17</v>
      </c>
      <c r="K22" s="20">
        <v>8.0</v>
      </c>
      <c r="L22" s="2" t="s">
        <v>17</v>
      </c>
      <c r="M22" s="20">
        <v>8.0</v>
      </c>
      <c r="N22" s="48" t="s">
        <v>4</v>
      </c>
      <c r="O22" s="20">
        <f>VLOOKUP(N22, 'horarios BBDD'!$A:$B,2,0)</f>
        <v>0</v>
      </c>
      <c r="P22" s="20">
        <f t="shared" si="2"/>
        <v>40</v>
      </c>
      <c r="Q22" s="63" t="s">
        <v>151</v>
      </c>
      <c r="R22" s="59"/>
    </row>
    <row r="23" ht="14.25" customHeight="1">
      <c r="A23" s="31" t="s">
        <v>88</v>
      </c>
      <c r="B23" s="2" t="s">
        <v>36</v>
      </c>
      <c r="C23" s="20">
        <v>8.0</v>
      </c>
      <c r="D23" s="47" t="s">
        <v>51</v>
      </c>
      <c r="E23" s="20">
        <v>8.0</v>
      </c>
      <c r="F23" s="46" t="s">
        <v>4</v>
      </c>
      <c r="G23" s="21">
        <f>VLOOKUP(F23, 'horarios BBDD'!$A:$B,2,0)</f>
        <v>0</v>
      </c>
      <c r="H23" s="46" t="s">
        <v>4</v>
      </c>
      <c r="I23" s="21">
        <f>VLOOKUP(H23, 'horarios BBDD'!$A:$B,2,0)</f>
        <v>0</v>
      </c>
      <c r="J23" s="2" t="s">
        <v>36</v>
      </c>
      <c r="K23" s="20">
        <v>8.0</v>
      </c>
      <c r="L23" s="46" t="s">
        <v>4</v>
      </c>
      <c r="M23" s="21">
        <v>8.0</v>
      </c>
      <c r="N23" s="48" t="s">
        <v>4</v>
      </c>
      <c r="O23" s="20">
        <v>0.0</v>
      </c>
      <c r="P23" s="21">
        <f t="shared" si="2"/>
        <v>32</v>
      </c>
      <c r="Q23" s="63" t="s">
        <v>151</v>
      </c>
      <c r="R23" s="59"/>
    </row>
    <row r="24" ht="14.25" customHeight="1">
      <c r="A24" s="19" t="s">
        <v>70</v>
      </c>
      <c r="B24" s="47" t="s">
        <v>51</v>
      </c>
      <c r="C24" s="20">
        <v>8.0</v>
      </c>
      <c r="D24" s="46" t="s">
        <v>4</v>
      </c>
      <c r="E24" s="21">
        <f>VLOOKUP(D24, 'horarios BBDD'!$A:$B,2,0)</f>
        <v>0</v>
      </c>
      <c r="F24" s="47" t="s">
        <v>51</v>
      </c>
      <c r="G24" s="20">
        <v>8.0</v>
      </c>
      <c r="H24" s="46" t="s">
        <v>4</v>
      </c>
      <c r="I24" s="21">
        <f>VLOOKUP(H24, 'horarios BBDD'!$A:$B,2,0)</f>
        <v>0</v>
      </c>
      <c r="J24" s="47" t="s">
        <v>51</v>
      </c>
      <c r="K24" s="20">
        <v>8.0</v>
      </c>
      <c r="L24" s="46" t="s">
        <v>4</v>
      </c>
      <c r="M24" s="21">
        <v>8.0</v>
      </c>
      <c r="N24" s="46" t="s">
        <v>4</v>
      </c>
      <c r="O24" s="21">
        <f>VLOOKUP(N24, 'horarios BBDD'!$A:$B,2,0)</f>
        <v>0</v>
      </c>
      <c r="P24" s="20">
        <f t="shared" si="2"/>
        <v>32</v>
      </c>
      <c r="Q24" s="61"/>
      <c r="R24" s="59"/>
    </row>
    <row r="25" ht="14.25" customHeight="1">
      <c r="A25" s="19" t="s">
        <v>72</v>
      </c>
      <c r="B25" s="2" t="s">
        <v>51</v>
      </c>
      <c r="C25" s="20">
        <v>8.0</v>
      </c>
      <c r="D25" s="46" t="s">
        <v>4</v>
      </c>
      <c r="E25" s="21">
        <f>VLOOKUP(D25, 'horarios BBDD'!$A:$B,2,0)</f>
        <v>0</v>
      </c>
      <c r="F25" s="2" t="s">
        <v>51</v>
      </c>
      <c r="G25" s="20">
        <v>8.0</v>
      </c>
      <c r="H25" s="46" t="s">
        <v>4</v>
      </c>
      <c r="I25" s="21">
        <f>VLOOKUP(H25, 'horarios BBDD'!$A:$B,2,0)</f>
        <v>0</v>
      </c>
      <c r="J25" s="2" t="s">
        <v>51</v>
      </c>
      <c r="K25" s="20">
        <v>8.0</v>
      </c>
      <c r="L25" s="46" t="s">
        <v>4</v>
      </c>
      <c r="M25" s="21">
        <v>8.0</v>
      </c>
      <c r="N25" s="48" t="s">
        <v>4</v>
      </c>
      <c r="O25" s="20">
        <v>0.0</v>
      </c>
      <c r="P25" s="21">
        <f t="shared" si="2"/>
        <v>32</v>
      </c>
      <c r="Q25" s="61"/>
      <c r="R25" s="59"/>
    </row>
    <row r="26" ht="14.25" customHeight="1">
      <c r="A26" s="19" t="s">
        <v>96</v>
      </c>
      <c r="B26" s="2" t="s">
        <v>51</v>
      </c>
      <c r="C26" s="20">
        <v>8.0</v>
      </c>
      <c r="D26" s="2" t="s">
        <v>51</v>
      </c>
      <c r="E26" s="20">
        <v>8.0</v>
      </c>
      <c r="F26" s="46" t="s">
        <v>4</v>
      </c>
      <c r="G26" s="21">
        <f>VLOOKUP(F26, 'horarios BBDD'!$A:$B,2,0)</f>
        <v>0</v>
      </c>
      <c r="H26" s="2" t="s">
        <v>51</v>
      </c>
      <c r="I26" s="20">
        <v>8.0</v>
      </c>
      <c r="J26" s="2" t="s">
        <v>51</v>
      </c>
      <c r="K26" s="20">
        <v>8.0</v>
      </c>
      <c r="L26" s="46" t="s">
        <v>4</v>
      </c>
      <c r="M26" s="21">
        <v>8.0</v>
      </c>
      <c r="N26" s="50" t="s">
        <v>4</v>
      </c>
      <c r="O26" s="20">
        <v>0.0</v>
      </c>
      <c r="P26" s="20">
        <f t="shared" si="2"/>
        <v>40</v>
      </c>
      <c r="Q26" s="61"/>
      <c r="R26" s="59"/>
    </row>
    <row r="27" ht="14.25" customHeight="1">
      <c r="A27" s="19" t="s">
        <v>92</v>
      </c>
      <c r="B27" s="2" t="s">
        <v>51</v>
      </c>
      <c r="C27" s="20">
        <v>8.0</v>
      </c>
      <c r="D27" s="46" t="s">
        <v>4</v>
      </c>
      <c r="E27" s="21">
        <f>VLOOKUP(D27, 'horarios BBDD'!$A:$B,2,0)</f>
        <v>0</v>
      </c>
      <c r="F27" s="2" t="s">
        <v>51</v>
      </c>
      <c r="G27" s="20">
        <v>8.0</v>
      </c>
      <c r="H27" s="2" t="s">
        <v>51</v>
      </c>
      <c r="I27" s="21">
        <f>VLOOKUP(H27, 'horarios BBDD'!$A:$B,2,0)</f>
        <v>8</v>
      </c>
      <c r="J27" s="2" t="s">
        <v>51</v>
      </c>
      <c r="K27" s="20">
        <v>8.0</v>
      </c>
      <c r="L27" s="2" t="s">
        <v>51</v>
      </c>
      <c r="M27" s="20">
        <v>8.0</v>
      </c>
      <c r="N27" s="50" t="s">
        <v>4</v>
      </c>
      <c r="O27" s="20">
        <v>0.0</v>
      </c>
      <c r="P27" s="21">
        <f t="shared" si="2"/>
        <v>40</v>
      </c>
      <c r="Q27" s="61"/>
      <c r="R27" s="59"/>
    </row>
    <row r="28" ht="14.25" customHeight="1">
      <c r="A28" s="72" t="s">
        <v>76</v>
      </c>
      <c r="B28" s="73" t="s">
        <v>51</v>
      </c>
      <c r="C28" s="74">
        <v>8.0</v>
      </c>
      <c r="D28" s="68"/>
      <c r="E28" s="69">
        <v>0.0</v>
      </c>
      <c r="F28" s="68"/>
      <c r="G28" s="69">
        <v>0.0</v>
      </c>
      <c r="H28" s="73"/>
      <c r="I28" s="74">
        <v>8.0</v>
      </c>
      <c r="J28" s="73"/>
      <c r="K28" s="74">
        <v>8.0</v>
      </c>
      <c r="L28" s="68"/>
      <c r="M28" s="75">
        <v>8.0</v>
      </c>
      <c r="N28" s="73"/>
      <c r="O28" s="74">
        <v>8.0</v>
      </c>
      <c r="P28" s="74">
        <f t="shared" si="2"/>
        <v>40</v>
      </c>
      <c r="Q28" s="76"/>
      <c r="R28" s="59"/>
    </row>
    <row r="29" ht="14.25" customHeight="1">
      <c r="A29" s="19" t="s">
        <v>74</v>
      </c>
      <c r="B29" s="2" t="s">
        <v>17</v>
      </c>
      <c r="C29" s="20">
        <v>8.0</v>
      </c>
      <c r="D29" s="2" t="s">
        <v>152</v>
      </c>
      <c r="E29" s="20">
        <v>6.0</v>
      </c>
      <c r="F29" s="46" t="s">
        <v>4</v>
      </c>
      <c r="G29" s="21">
        <f>VLOOKUP(F29, 'horarios BBDD'!$A:$B,2,0)</f>
        <v>0</v>
      </c>
      <c r="H29" s="2" t="s">
        <v>153</v>
      </c>
      <c r="I29" s="20">
        <v>6.5</v>
      </c>
      <c r="J29" s="2" t="s">
        <v>153</v>
      </c>
      <c r="K29" s="20">
        <v>6.5</v>
      </c>
      <c r="L29" s="2" t="s">
        <v>17</v>
      </c>
      <c r="M29" s="20">
        <v>8.0</v>
      </c>
      <c r="N29" s="46" t="s">
        <v>4</v>
      </c>
      <c r="O29" s="21">
        <f>VLOOKUP(N29, 'horarios BBDD'!$A:$B,2,0)</f>
        <v>0</v>
      </c>
      <c r="P29" s="21">
        <f t="shared" si="2"/>
        <v>35</v>
      </c>
      <c r="Q29" s="63" t="s">
        <v>151</v>
      </c>
      <c r="R29" s="59"/>
    </row>
    <row r="30" ht="14.25" customHeight="1">
      <c r="A30" s="19" t="s">
        <v>84</v>
      </c>
      <c r="B30" s="47" t="s">
        <v>51</v>
      </c>
      <c r="C30" s="20">
        <v>8.0</v>
      </c>
      <c r="D30" s="47" t="s">
        <v>51</v>
      </c>
      <c r="E30" s="20">
        <v>8.0</v>
      </c>
      <c r="F30" s="46" t="s">
        <v>4</v>
      </c>
      <c r="G30" s="21">
        <f>VLOOKUP(F30, 'horarios BBDD'!$A:$B,2,0)</f>
        <v>0</v>
      </c>
      <c r="H30" s="46" t="s">
        <v>4</v>
      </c>
      <c r="I30" s="21">
        <f>VLOOKUP(H30, 'horarios BBDD'!$A:$B,2,0)</f>
        <v>0</v>
      </c>
      <c r="J30" s="47" t="s">
        <v>51</v>
      </c>
      <c r="K30" s="20">
        <v>8.0</v>
      </c>
      <c r="L30" s="47" t="s">
        <v>51</v>
      </c>
      <c r="M30" s="20">
        <v>8.0</v>
      </c>
      <c r="N30" s="48" t="s">
        <v>4</v>
      </c>
      <c r="O30" s="20">
        <v>0.0</v>
      </c>
      <c r="P30" s="20">
        <f t="shared" si="2"/>
        <v>32</v>
      </c>
      <c r="Q30" s="61"/>
      <c r="R30" s="59"/>
    </row>
    <row r="31" ht="14.25" customHeight="1">
      <c r="A31" s="19" t="s">
        <v>98</v>
      </c>
      <c r="B31" s="47" t="s">
        <v>51</v>
      </c>
      <c r="C31" s="20">
        <v>8.0</v>
      </c>
      <c r="D31" s="46" t="s">
        <v>4</v>
      </c>
      <c r="E31" s="21">
        <f>VLOOKUP(D31, 'horarios BBDD'!$A:$B,2,0)</f>
        <v>0</v>
      </c>
      <c r="F31" s="46" t="s">
        <v>4</v>
      </c>
      <c r="G31" s="21">
        <f>VLOOKUP(F31, 'horarios BBDD'!$A:$B,2,0)</f>
        <v>0</v>
      </c>
      <c r="H31" s="47" t="s">
        <v>51</v>
      </c>
      <c r="I31" s="20">
        <v>8.0</v>
      </c>
      <c r="J31" s="47" t="s">
        <v>51</v>
      </c>
      <c r="K31" s="20">
        <v>8.0</v>
      </c>
      <c r="L31" s="47" t="s">
        <v>51</v>
      </c>
      <c r="M31" s="20">
        <v>8.0</v>
      </c>
      <c r="N31" s="48" t="s">
        <v>4</v>
      </c>
      <c r="O31" s="20">
        <v>0.0</v>
      </c>
      <c r="P31" s="21">
        <f t="shared" si="2"/>
        <v>32</v>
      </c>
      <c r="Q31" s="77" t="s">
        <v>154</v>
      </c>
      <c r="R31" s="59"/>
    </row>
    <row r="32" ht="14.25" customHeight="1">
      <c r="A32" s="78" t="s">
        <v>80</v>
      </c>
      <c r="B32" s="70"/>
      <c r="C32" s="74">
        <v>8.0</v>
      </c>
      <c r="D32" s="70"/>
      <c r="E32" s="74">
        <v>8.0</v>
      </c>
      <c r="F32" s="70"/>
      <c r="G32" s="74">
        <v>8.0</v>
      </c>
      <c r="H32" s="68"/>
      <c r="I32" s="69">
        <v>0.0</v>
      </c>
      <c r="J32" s="70"/>
      <c r="K32" s="74">
        <v>8.0</v>
      </c>
      <c r="L32" s="68" t="s">
        <v>4</v>
      </c>
      <c r="M32" s="75">
        <v>8.0</v>
      </c>
      <c r="N32" s="70" t="s">
        <v>4</v>
      </c>
      <c r="O32" s="74">
        <v>0.0</v>
      </c>
      <c r="P32" s="74">
        <f t="shared" si="2"/>
        <v>40</v>
      </c>
      <c r="Q32" s="76"/>
      <c r="R32" s="59"/>
    </row>
    <row r="33" ht="14.25" customHeight="1">
      <c r="A33" s="31" t="s">
        <v>78</v>
      </c>
      <c r="B33" s="47" t="s">
        <v>51</v>
      </c>
      <c r="C33" s="20">
        <v>8.0</v>
      </c>
      <c r="D33" s="47" t="s">
        <v>51</v>
      </c>
      <c r="E33" s="20">
        <v>8.0</v>
      </c>
      <c r="F33" s="46" t="s">
        <v>4</v>
      </c>
      <c r="G33" s="21">
        <f>VLOOKUP(F33, 'horarios BBDD'!$A:$B,2,0)</f>
        <v>0</v>
      </c>
      <c r="H33" s="47" t="s">
        <v>51</v>
      </c>
      <c r="I33" s="20">
        <v>8.0</v>
      </c>
      <c r="J33" s="79" t="s">
        <v>2</v>
      </c>
      <c r="K33" s="64">
        <v>6.0</v>
      </c>
      <c r="L33" s="46" t="s">
        <v>4</v>
      </c>
      <c r="M33" s="21">
        <v>8.0</v>
      </c>
      <c r="N33" s="48" t="s">
        <v>4</v>
      </c>
      <c r="O33" s="20">
        <v>0.0</v>
      </c>
      <c r="P33" s="21">
        <f t="shared" si="2"/>
        <v>38</v>
      </c>
      <c r="Q33" s="63" t="s">
        <v>155</v>
      </c>
      <c r="R33" s="59"/>
    </row>
    <row r="34" ht="14.25" customHeight="1">
      <c r="A34" s="19" t="s">
        <v>94</v>
      </c>
      <c r="B34" s="2" t="s">
        <v>36</v>
      </c>
      <c r="C34" s="20">
        <v>8.0</v>
      </c>
      <c r="D34" s="48" t="s">
        <v>4</v>
      </c>
      <c r="E34" s="20">
        <v>0.0</v>
      </c>
      <c r="F34" s="65" t="s">
        <v>4</v>
      </c>
      <c r="G34" s="20">
        <v>0.0</v>
      </c>
      <c r="H34" s="2" t="s">
        <v>36</v>
      </c>
      <c r="I34" s="20">
        <v>8.0</v>
      </c>
      <c r="J34" s="2" t="s">
        <v>36</v>
      </c>
      <c r="K34" s="20">
        <v>8.0</v>
      </c>
      <c r="L34" s="2" t="s">
        <v>36</v>
      </c>
      <c r="M34" s="20">
        <v>8.0</v>
      </c>
      <c r="N34" s="50" t="s">
        <v>4</v>
      </c>
      <c r="O34" s="20">
        <v>0.0</v>
      </c>
      <c r="P34" s="20">
        <f t="shared" si="2"/>
        <v>32</v>
      </c>
      <c r="Q34" s="63" t="s">
        <v>151</v>
      </c>
      <c r="R34" s="59"/>
    </row>
    <row r="35" ht="14.25" customHeight="1">
      <c r="A35" s="49" t="s">
        <v>86</v>
      </c>
      <c r="B35" s="2" t="s">
        <v>51</v>
      </c>
      <c r="C35" s="20">
        <v>8.0</v>
      </c>
      <c r="D35" s="48" t="s">
        <v>4</v>
      </c>
      <c r="E35" s="20">
        <v>0.0</v>
      </c>
      <c r="F35" s="48" t="s">
        <v>4</v>
      </c>
      <c r="G35" s="20">
        <v>0.0</v>
      </c>
      <c r="H35" s="2" t="s">
        <v>51</v>
      </c>
      <c r="I35" s="20">
        <v>8.0</v>
      </c>
      <c r="J35" s="2" t="s">
        <v>51</v>
      </c>
      <c r="K35" s="20">
        <v>8.0</v>
      </c>
      <c r="L35" s="2" t="s">
        <v>51</v>
      </c>
      <c r="M35" s="20">
        <v>8.0</v>
      </c>
      <c r="N35" s="2" t="s">
        <v>51</v>
      </c>
      <c r="O35" s="20">
        <v>8.0</v>
      </c>
      <c r="P35" s="21">
        <f t="shared" si="2"/>
        <v>40</v>
      </c>
      <c r="Q35" s="61"/>
      <c r="R35" s="59"/>
    </row>
    <row r="36" ht="14.25" customHeight="1"/>
    <row r="37" ht="14.25" customHeight="1"/>
    <row r="38" ht="14.25" customHeight="1">
      <c r="A38" s="66" t="s">
        <v>156</v>
      </c>
      <c r="B38" s="67"/>
    </row>
    <row r="39" ht="14.25" customHeight="1">
      <c r="A39" s="10" t="s">
        <v>65</v>
      </c>
      <c r="B39" s="10" t="s">
        <v>157</v>
      </c>
      <c r="C39" s="45"/>
      <c r="D39" s="10" t="s">
        <v>158</v>
      </c>
      <c r="E39" s="45"/>
      <c r="F39" s="10" t="s">
        <v>159</v>
      </c>
      <c r="G39" s="45"/>
      <c r="H39" s="10" t="s">
        <v>160</v>
      </c>
      <c r="I39" s="45"/>
      <c r="J39" s="10" t="s">
        <v>161</v>
      </c>
      <c r="K39" s="45"/>
      <c r="L39" s="10" t="s">
        <v>162</v>
      </c>
      <c r="M39" s="45"/>
      <c r="N39" s="10" t="s">
        <v>163</v>
      </c>
      <c r="O39" s="10"/>
      <c r="P39" s="10" t="s">
        <v>107</v>
      </c>
      <c r="Q39" s="60" t="s">
        <v>138</v>
      </c>
    </row>
    <row r="40" ht="33.0" customHeight="1">
      <c r="A40" s="19" t="s">
        <v>82</v>
      </c>
      <c r="B40" s="80" t="s">
        <v>51</v>
      </c>
      <c r="C40" s="80">
        <v>8.0</v>
      </c>
      <c r="D40" s="80" t="s">
        <v>51</v>
      </c>
      <c r="E40" s="80">
        <v>8.0</v>
      </c>
      <c r="F40" s="81" t="s">
        <v>4</v>
      </c>
      <c r="G40" s="80">
        <v>0.0</v>
      </c>
      <c r="H40" s="80" t="s">
        <v>51</v>
      </c>
      <c r="I40" s="80">
        <v>8.0</v>
      </c>
      <c r="J40" s="80" t="s">
        <v>51</v>
      </c>
      <c r="K40" s="80">
        <v>8.0</v>
      </c>
      <c r="L40" s="80" t="s">
        <v>51</v>
      </c>
      <c r="M40" s="80">
        <v>8.0</v>
      </c>
      <c r="N40" s="81" t="s">
        <v>4</v>
      </c>
      <c r="O40" s="80">
        <v>0.0</v>
      </c>
      <c r="P40" s="21">
        <f t="shared" ref="P40:P54" si="3">O40+M40+K40+I40+G40+E40+C40</f>
        <v>40</v>
      </c>
      <c r="Q40" s="61"/>
      <c r="R40" s="59"/>
      <c r="S40" s="82">
        <f t="shared" ref="S40:S54" si="4">P3+P21+P40</f>
        <v>104</v>
      </c>
    </row>
    <row r="41" ht="14.25" customHeight="1">
      <c r="A41" s="31" t="s">
        <v>90</v>
      </c>
      <c r="B41" s="81" t="s">
        <v>164</v>
      </c>
      <c r="C41" s="80">
        <v>0.0</v>
      </c>
      <c r="D41" s="80" t="s">
        <v>51</v>
      </c>
      <c r="E41" s="80">
        <v>8.0</v>
      </c>
      <c r="F41" s="81" t="s">
        <v>4</v>
      </c>
      <c r="G41" s="80">
        <v>0.0</v>
      </c>
      <c r="H41" s="80" t="s">
        <v>17</v>
      </c>
      <c r="I41" s="80">
        <v>8.0</v>
      </c>
      <c r="J41" s="80" t="s">
        <v>17</v>
      </c>
      <c r="K41" s="80">
        <v>8.0</v>
      </c>
      <c r="L41" s="80" t="s">
        <v>17</v>
      </c>
      <c r="M41" s="80">
        <v>8.0</v>
      </c>
      <c r="N41" s="80" t="s">
        <v>17</v>
      </c>
      <c r="O41" s="80">
        <v>8.0</v>
      </c>
      <c r="P41" s="20">
        <f t="shared" si="3"/>
        <v>40</v>
      </c>
      <c r="Q41" s="61"/>
      <c r="R41" s="59"/>
      <c r="S41" s="82">
        <f t="shared" si="4"/>
        <v>120</v>
      </c>
    </row>
    <row r="42" ht="14.25" customHeight="1">
      <c r="A42" s="31" t="s">
        <v>88</v>
      </c>
      <c r="B42" s="80" t="s">
        <v>164</v>
      </c>
      <c r="C42" s="80">
        <v>8.0</v>
      </c>
      <c r="D42" s="81" t="s">
        <v>4</v>
      </c>
      <c r="E42" s="80">
        <v>0.0</v>
      </c>
      <c r="F42" s="80" t="s">
        <v>36</v>
      </c>
      <c r="G42" s="80">
        <v>8.0</v>
      </c>
      <c r="H42" s="81" t="s">
        <v>4</v>
      </c>
      <c r="I42" s="80">
        <v>0.0</v>
      </c>
      <c r="J42" s="80" t="s">
        <v>36</v>
      </c>
      <c r="K42" s="80">
        <v>8.0</v>
      </c>
      <c r="L42" s="80" t="s">
        <v>36</v>
      </c>
      <c r="M42" s="80">
        <v>8.0</v>
      </c>
      <c r="N42" s="80" t="s">
        <v>36</v>
      </c>
      <c r="O42" s="80">
        <v>8.0</v>
      </c>
      <c r="P42" s="21">
        <f t="shared" si="3"/>
        <v>40</v>
      </c>
      <c r="Q42" s="77" t="s">
        <v>165</v>
      </c>
      <c r="R42" s="59"/>
      <c r="S42" s="82">
        <f t="shared" si="4"/>
        <v>120</v>
      </c>
    </row>
    <row r="43" ht="14.25" customHeight="1">
      <c r="A43" s="19" t="s">
        <v>70</v>
      </c>
      <c r="B43" s="81" t="s">
        <v>164</v>
      </c>
      <c r="C43" s="80">
        <v>0.0</v>
      </c>
      <c r="D43" s="80" t="s">
        <v>51</v>
      </c>
      <c r="E43" s="80">
        <v>8.0</v>
      </c>
      <c r="F43" s="80" t="s">
        <v>51</v>
      </c>
      <c r="G43" s="80">
        <v>8.0</v>
      </c>
      <c r="H43" s="80" t="s">
        <v>51</v>
      </c>
      <c r="I43" s="80">
        <v>8.0</v>
      </c>
      <c r="J43" s="80" t="s">
        <v>51</v>
      </c>
      <c r="K43" s="80">
        <v>8.0</v>
      </c>
      <c r="L43" s="80" t="s">
        <v>51</v>
      </c>
      <c r="M43" s="80">
        <v>8.0</v>
      </c>
      <c r="N43" s="81" t="s">
        <v>4</v>
      </c>
      <c r="O43" s="80">
        <v>0.0</v>
      </c>
      <c r="P43" s="20">
        <f t="shared" si="3"/>
        <v>40</v>
      </c>
      <c r="Q43" s="61"/>
      <c r="R43" s="59"/>
      <c r="S43" s="82">
        <f t="shared" si="4"/>
        <v>120</v>
      </c>
    </row>
    <row r="44" ht="14.25" customHeight="1">
      <c r="A44" s="19" t="s">
        <v>72</v>
      </c>
      <c r="B44" s="81" t="s">
        <v>164</v>
      </c>
      <c r="C44" s="80">
        <v>0.0</v>
      </c>
      <c r="D44" s="80" t="s">
        <v>51</v>
      </c>
      <c r="E44" s="80">
        <v>8.0</v>
      </c>
      <c r="F44" s="80" t="s">
        <v>51</v>
      </c>
      <c r="G44" s="80">
        <v>8.0</v>
      </c>
      <c r="H44" s="81" t="s">
        <v>4</v>
      </c>
      <c r="I44" s="80">
        <v>0.0</v>
      </c>
      <c r="J44" s="80" t="s">
        <v>51</v>
      </c>
      <c r="K44" s="80">
        <v>8.0</v>
      </c>
      <c r="L44" s="80" t="s">
        <v>51</v>
      </c>
      <c r="M44" s="80">
        <v>8.0</v>
      </c>
      <c r="N44" s="80" t="s">
        <v>51</v>
      </c>
      <c r="O44" s="80">
        <v>8.0</v>
      </c>
      <c r="P44" s="21">
        <f t="shared" si="3"/>
        <v>40</v>
      </c>
      <c r="Q44" s="61"/>
      <c r="R44" s="59"/>
      <c r="S44" s="82">
        <f t="shared" si="4"/>
        <v>120</v>
      </c>
    </row>
    <row r="45" ht="14.25" customHeight="1">
      <c r="A45" s="19" t="s">
        <v>96</v>
      </c>
      <c r="B45" s="80" t="s">
        <v>51</v>
      </c>
      <c r="C45" s="80">
        <v>8.0</v>
      </c>
      <c r="D45" s="81" t="s">
        <v>4</v>
      </c>
      <c r="E45" s="80">
        <v>0.0</v>
      </c>
      <c r="F45" s="81" t="s">
        <v>4</v>
      </c>
      <c r="G45" s="80">
        <v>0.0</v>
      </c>
      <c r="H45" s="80" t="s">
        <v>51</v>
      </c>
      <c r="I45" s="80">
        <v>8.0</v>
      </c>
      <c r="J45" s="80" t="s">
        <v>51</v>
      </c>
      <c r="K45" s="80">
        <v>8.0</v>
      </c>
      <c r="L45" s="80" t="s">
        <v>51</v>
      </c>
      <c r="M45" s="80">
        <v>8.0</v>
      </c>
      <c r="N45" s="80" t="s">
        <v>51</v>
      </c>
      <c r="O45" s="80">
        <v>8.0</v>
      </c>
      <c r="P45" s="20">
        <f t="shared" si="3"/>
        <v>40</v>
      </c>
      <c r="Q45" s="61"/>
      <c r="R45" s="59"/>
      <c r="S45" s="82">
        <f t="shared" si="4"/>
        <v>120</v>
      </c>
    </row>
    <row r="46" ht="14.25" customHeight="1">
      <c r="A46" s="19" t="s">
        <v>92</v>
      </c>
      <c r="B46" s="80" t="s">
        <v>51</v>
      </c>
      <c r="C46" s="80">
        <v>8.0</v>
      </c>
      <c r="D46" s="81" t="s">
        <v>4</v>
      </c>
      <c r="E46" s="80">
        <v>0.0</v>
      </c>
      <c r="F46" s="80" t="s">
        <v>51</v>
      </c>
      <c r="G46" s="80">
        <v>8.0</v>
      </c>
      <c r="H46" s="81" t="s">
        <v>4</v>
      </c>
      <c r="I46" s="80">
        <v>0.0</v>
      </c>
      <c r="J46" s="80" t="s">
        <v>51</v>
      </c>
      <c r="K46" s="80">
        <v>8.0</v>
      </c>
      <c r="L46" s="80" t="s">
        <v>51</v>
      </c>
      <c r="M46" s="80">
        <v>8.0</v>
      </c>
      <c r="N46" s="80" t="s">
        <v>51</v>
      </c>
      <c r="O46" s="80">
        <v>8.0</v>
      </c>
      <c r="P46" s="21">
        <f t="shared" si="3"/>
        <v>40</v>
      </c>
      <c r="Q46" s="61"/>
      <c r="R46" s="59"/>
      <c r="S46" s="82">
        <f t="shared" si="4"/>
        <v>128</v>
      </c>
    </row>
    <row r="47" ht="14.25" customHeight="1">
      <c r="A47" s="49" t="s">
        <v>76</v>
      </c>
      <c r="B47" s="83" t="s">
        <v>4</v>
      </c>
      <c r="C47" s="83">
        <v>0.0</v>
      </c>
      <c r="D47" s="83" t="s">
        <v>4</v>
      </c>
      <c r="E47" s="83">
        <v>0.0</v>
      </c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74">
        <f t="shared" si="3"/>
        <v>0</v>
      </c>
      <c r="Q47" s="61"/>
      <c r="R47" s="59"/>
      <c r="S47" s="82">
        <f t="shared" si="4"/>
        <v>80</v>
      </c>
    </row>
    <row r="48" ht="14.25" customHeight="1">
      <c r="A48" s="19" t="s">
        <v>74</v>
      </c>
      <c r="B48" s="81" t="s">
        <v>164</v>
      </c>
      <c r="C48" s="80">
        <v>0.0</v>
      </c>
      <c r="D48" s="84" t="s">
        <v>17</v>
      </c>
      <c r="E48" s="84">
        <v>8.0</v>
      </c>
      <c r="F48" s="84" t="s">
        <v>17</v>
      </c>
      <c r="G48" s="84">
        <v>8.0</v>
      </c>
      <c r="H48" s="84" t="s">
        <v>17</v>
      </c>
      <c r="I48" s="84">
        <v>8.0</v>
      </c>
      <c r="J48" s="80" t="s">
        <v>17</v>
      </c>
      <c r="K48" s="80">
        <v>8.0</v>
      </c>
      <c r="L48" s="80" t="s">
        <v>17</v>
      </c>
      <c r="M48" s="80">
        <v>8.0</v>
      </c>
      <c r="N48" s="81" t="s">
        <v>4</v>
      </c>
      <c r="O48" s="80">
        <v>0.0</v>
      </c>
      <c r="P48" s="21">
        <f t="shared" si="3"/>
        <v>40</v>
      </c>
      <c r="Q48" s="77" t="s">
        <v>166</v>
      </c>
      <c r="R48" s="59"/>
      <c r="S48" s="82">
        <f t="shared" si="4"/>
        <v>120</v>
      </c>
    </row>
    <row r="49" ht="14.25" customHeight="1">
      <c r="A49" s="19" t="s">
        <v>84</v>
      </c>
      <c r="B49" s="80" t="s">
        <v>164</v>
      </c>
      <c r="C49" s="80">
        <v>8.0</v>
      </c>
      <c r="D49" s="80" t="s">
        <v>51</v>
      </c>
      <c r="E49" s="80">
        <v>8.0</v>
      </c>
      <c r="F49" s="81" t="s">
        <v>4</v>
      </c>
      <c r="G49" s="80">
        <v>0.0</v>
      </c>
      <c r="H49" s="81" t="s">
        <v>4</v>
      </c>
      <c r="I49" s="80">
        <v>0.0</v>
      </c>
      <c r="J49" s="80" t="s">
        <v>51</v>
      </c>
      <c r="K49" s="80">
        <v>8.0</v>
      </c>
      <c r="L49" s="80" t="s">
        <v>51</v>
      </c>
      <c r="M49" s="80">
        <v>8.0</v>
      </c>
      <c r="N49" s="80" t="s">
        <v>51</v>
      </c>
      <c r="O49" s="80">
        <v>8.0</v>
      </c>
      <c r="P49" s="20">
        <f t="shared" si="3"/>
        <v>40</v>
      </c>
      <c r="Q49" s="77" t="s">
        <v>167</v>
      </c>
      <c r="R49" s="59"/>
      <c r="S49" s="82">
        <f t="shared" si="4"/>
        <v>120</v>
      </c>
    </row>
    <row r="50" ht="14.25" customHeight="1">
      <c r="A50" s="19" t="s">
        <v>98</v>
      </c>
      <c r="B50" s="80" t="s">
        <v>164</v>
      </c>
      <c r="C50" s="80">
        <v>0.0</v>
      </c>
      <c r="D50" s="80" t="s">
        <v>51</v>
      </c>
      <c r="E50" s="80">
        <v>8.0</v>
      </c>
      <c r="F50" s="81" t="s">
        <v>4</v>
      </c>
      <c r="G50" s="80">
        <v>0.0</v>
      </c>
      <c r="H50" s="80" t="s">
        <v>51</v>
      </c>
      <c r="I50" s="80">
        <v>8.0</v>
      </c>
      <c r="J50" s="80" t="s">
        <v>51</v>
      </c>
      <c r="K50" s="80">
        <v>8.0</v>
      </c>
      <c r="L50" s="80" t="s">
        <v>51</v>
      </c>
      <c r="M50" s="80">
        <v>8.0</v>
      </c>
      <c r="N50" s="80" t="s">
        <v>51</v>
      </c>
      <c r="O50" s="80">
        <v>8.0</v>
      </c>
      <c r="P50" s="21">
        <f t="shared" si="3"/>
        <v>40</v>
      </c>
      <c r="Q50" s="61"/>
      <c r="R50" s="59"/>
      <c r="S50" s="82">
        <f t="shared" si="4"/>
        <v>128</v>
      </c>
    </row>
    <row r="51" ht="14.25" customHeight="1">
      <c r="A51" s="19" t="s">
        <v>80</v>
      </c>
      <c r="B51" s="81" t="s">
        <v>4</v>
      </c>
      <c r="C51" s="80">
        <v>0.0</v>
      </c>
      <c r="D51" s="80"/>
      <c r="E51" s="80"/>
      <c r="F51" s="80" t="s">
        <v>36</v>
      </c>
      <c r="G51" s="80">
        <v>8.0</v>
      </c>
      <c r="H51" s="80" t="s">
        <v>36</v>
      </c>
      <c r="I51" s="80">
        <v>8.0</v>
      </c>
      <c r="J51" s="80" t="s">
        <v>36</v>
      </c>
      <c r="K51" s="80">
        <v>8.0</v>
      </c>
      <c r="L51" s="80" t="s">
        <v>37</v>
      </c>
      <c r="M51" s="80">
        <v>8.0</v>
      </c>
      <c r="N51" s="81" t="s">
        <v>4</v>
      </c>
      <c r="O51" s="80">
        <v>0.0</v>
      </c>
      <c r="P51" s="20">
        <f t="shared" si="3"/>
        <v>32</v>
      </c>
      <c r="Q51" s="77" t="s">
        <v>168</v>
      </c>
      <c r="R51" s="59"/>
      <c r="S51" s="82">
        <f t="shared" si="4"/>
        <v>112</v>
      </c>
    </row>
    <row r="52" ht="14.25" customHeight="1">
      <c r="A52" s="31" t="s">
        <v>78</v>
      </c>
      <c r="B52" s="80" t="s">
        <v>164</v>
      </c>
      <c r="C52" s="80">
        <v>8.0</v>
      </c>
      <c r="D52" s="80" t="s">
        <v>51</v>
      </c>
      <c r="E52" s="80">
        <v>8.0</v>
      </c>
      <c r="F52" s="81" t="s">
        <v>4</v>
      </c>
      <c r="G52" s="80">
        <v>0.0</v>
      </c>
      <c r="H52" s="84" t="s">
        <v>51</v>
      </c>
      <c r="I52" s="84">
        <v>8.0</v>
      </c>
      <c r="J52" s="84" t="s">
        <v>51</v>
      </c>
      <c r="K52" s="84">
        <v>8.0</v>
      </c>
      <c r="L52" s="84" t="s">
        <v>51</v>
      </c>
      <c r="M52" s="84">
        <v>8.0</v>
      </c>
      <c r="N52" s="81" t="s">
        <v>4</v>
      </c>
      <c r="O52" s="80">
        <v>0.0</v>
      </c>
      <c r="P52" s="21">
        <f t="shared" si="3"/>
        <v>40</v>
      </c>
      <c r="Q52" s="77" t="s">
        <v>166</v>
      </c>
      <c r="R52" s="59"/>
      <c r="S52" s="82">
        <f t="shared" si="4"/>
        <v>126</v>
      </c>
    </row>
    <row r="53" ht="14.25" customHeight="1">
      <c r="A53" s="19" t="s">
        <v>94</v>
      </c>
      <c r="B53" s="80" t="s">
        <v>164</v>
      </c>
      <c r="C53" s="80">
        <v>8.0</v>
      </c>
      <c r="D53" s="81" t="s">
        <v>4</v>
      </c>
      <c r="E53" s="80">
        <v>0.0</v>
      </c>
      <c r="F53" s="80" t="s">
        <v>36</v>
      </c>
      <c r="G53" s="80">
        <v>8.0</v>
      </c>
      <c r="H53" s="80" t="s">
        <v>36</v>
      </c>
      <c r="I53" s="80">
        <v>8.0</v>
      </c>
      <c r="J53" s="80" t="s">
        <v>36</v>
      </c>
      <c r="K53" s="80">
        <v>8.0</v>
      </c>
      <c r="L53" s="80" t="s">
        <v>36</v>
      </c>
      <c r="M53" s="80">
        <v>8.0</v>
      </c>
      <c r="N53" s="81" t="s">
        <v>4</v>
      </c>
      <c r="O53" s="80">
        <v>0.0</v>
      </c>
      <c r="P53" s="20">
        <f t="shared" si="3"/>
        <v>40</v>
      </c>
      <c r="Q53" s="61"/>
      <c r="R53" s="59"/>
      <c r="S53" s="82">
        <f t="shared" si="4"/>
        <v>120</v>
      </c>
    </row>
    <row r="54" ht="14.25" customHeight="1">
      <c r="A54" s="49" t="s">
        <v>86</v>
      </c>
      <c r="B54" s="81" t="s">
        <v>164</v>
      </c>
      <c r="C54" s="80">
        <v>0.0</v>
      </c>
      <c r="D54" s="81" t="s">
        <v>4</v>
      </c>
      <c r="E54" s="80">
        <v>0.0</v>
      </c>
      <c r="F54" s="80" t="s">
        <v>51</v>
      </c>
      <c r="G54" s="80">
        <v>8.0</v>
      </c>
      <c r="H54" s="80" t="s">
        <v>169</v>
      </c>
      <c r="I54" s="80">
        <v>8.0</v>
      </c>
      <c r="J54" s="80" t="s">
        <v>51</v>
      </c>
      <c r="K54" s="80">
        <v>8.0</v>
      </c>
      <c r="L54" s="80" t="s">
        <v>51</v>
      </c>
      <c r="M54" s="80">
        <v>8.0</v>
      </c>
      <c r="N54" s="80" t="s">
        <v>51</v>
      </c>
      <c r="O54" s="80">
        <v>8.0</v>
      </c>
      <c r="P54" s="21">
        <f t="shared" si="3"/>
        <v>40</v>
      </c>
      <c r="Q54" s="61"/>
      <c r="R54" s="59"/>
      <c r="S54" s="82">
        <f t="shared" si="4"/>
        <v>128</v>
      </c>
    </row>
    <row r="55" ht="14.25" customHeight="1"/>
    <row r="56" ht="14.25" customHeight="1">
      <c r="A56" s="66" t="s">
        <v>170</v>
      </c>
      <c r="B56" s="67"/>
    </row>
    <row r="57" ht="14.25" customHeight="1">
      <c r="A57" s="10" t="s">
        <v>65</v>
      </c>
      <c r="B57" s="10" t="s">
        <v>171</v>
      </c>
      <c r="C57" s="45"/>
      <c r="D57" s="10" t="s">
        <v>172</v>
      </c>
      <c r="E57" s="45"/>
      <c r="F57" s="10" t="s">
        <v>173</v>
      </c>
      <c r="G57" s="45"/>
      <c r="H57" s="10" t="s">
        <v>174</v>
      </c>
      <c r="I57" s="45"/>
      <c r="J57" s="10" t="s">
        <v>175</v>
      </c>
      <c r="K57" s="45"/>
      <c r="L57" s="10" t="s">
        <v>176</v>
      </c>
      <c r="M57" s="45"/>
      <c r="N57" s="10" t="s">
        <v>177</v>
      </c>
      <c r="O57" s="10"/>
      <c r="P57" s="10" t="s">
        <v>107</v>
      </c>
      <c r="Q57" s="60" t="s">
        <v>138</v>
      </c>
    </row>
    <row r="58" ht="14.25" customHeight="1">
      <c r="A58" s="19" t="s">
        <v>82</v>
      </c>
      <c r="B58" s="79" t="s">
        <v>178</v>
      </c>
      <c r="C58" s="64">
        <v>8.0</v>
      </c>
      <c r="D58" s="2" t="s">
        <v>51</v>
      </c>
      <c r="E58" s="20">
        <f>VLOOKUP(D58, 'horarios BBDD'!$A:$B,2,0)</f>
        <v>8</v>
      </c>
      <c r="F58" s="48" t="s">
        <v>4</v>
      </c>
      <c r="G58" s="20">
        <f>VLOOKUP(F58, 'horarios BBDD'!$A:$B,2,0)</f>
        <v>0</v>
      </c>
      <c r="H58" s="2" t="s">
        <v>51</v>
      </c>
      <c r="I58" s="20">
        <f>VLOOKUP(H58, 'horarios BBDD'!$A:$B,2,0)</f>
        <v>8</v>
      </c>
      <c r="J58" s="2" t="s">
        <v>51</v>
      </c>
      <c r="K58" s="20">
        <f>VLOOKUP(J58, 'horarios BBDD'!$A:$B,2,0)</f>
        <v>8</v>
      </c>
      <c r="L58" s="2" t="s">
        <v>51</v>
      </c>
      <c r="M58" s="20">
        <f>VLOOKUP(L58, 'horarios BBDD'!$A:$B,2,0)</f>
        <v>8</v>
      </c>
      <c r="N58" s="46" t="s">
        <v>4</v>
      </c>
      <c r="O58" s="21">
        <f>VLOOKUP(N58, 'horarios BBDD'!$A:$B,2,0)</f>
        <v>0</v>
      </c>
      <c r="P58" s="21">
        <f t="shared" ref="P58:P72" si="5">O58+M58+K58+I58+G58+E58+C58</f>
        <v>40</v>
      </c>
      <c r="Q58" s="61"/>
    </row>
    <row r="59" ht="14.25" customHeight="1">
      <c r="A59" s="31" t="s">
        <v>90</v>
      </c>
      <c r="B59" s="50" t="s">
        <v>4</v>
      </c>
      <c r="C59" s="20">
        <f>VLOOKUP(B59, 'horarios BBDD'!$A:$B,2,0)</f>
        <v>0</v>
      </c>
      <c r="D59" s="47" t="s">
        <v>51</v>
      </c>
      <c r="E59" s="20">
        <f>VLOOKUP(D59, 'horarios BBDD'!$A:$B,2,0)</f>
        <v>8</v>
      </c>
      <c r="F59" s="47" t="s">
        <v>51</v>
      </c>
      <c r="G59" s="20">
        <f>VLOOKUP(F59, 'horarios BBDD'!$A:$B,2,0)</f>
        <v>8</v>
      </c>
      <c r="H59" s="48" t="s">
        <v>4</v>
      </c>
      <c r="I59" s="20">
        <f>VLOOKUP(H59, 'horarios BBDD'!$A:$B,2,0)</f>
        <v>0</v>
      </c>
      <c r="J59" s="47" t="s">
        <v>51</v>
      </c>
      <c r="K59" s="20">
        <f>VLOOKUP(J59, 'horarios BBDD'!$A:$B,2,0)</f>
        <v>8</v>
      </c>
      <c r="L59" s="47" t="s">
        <v>51</v>
      </c>
      <c r="M59" s="20">
        <f>VLOOKUP(L59, 'horarios BBDD'!$A:$B,2,0)</f>
        <v>8</v>
      </c>
      <c r="N59" s="2" t="s">
        <v>17</v>
      </c>
      <c r="O59" s="20">
        <v>8.0</v>
      </c>
      <c r="P59" s="20">
        <f t="shared" si="5"/>
        <v>40</v>
      </c>
      <c r="Q59" s="61"/>
    </row>
    <row r="60" ht="14.25" customHeight="1">
      <c r="A60" s="31" t="s">
        <v>88</v>
      </c>
      <c r="B60" s="2" t="s">
        <v>36</v>
      </c>
      <c r="C60" s="20">
        <f>VLOOKUP(B60, 'horarios BBDD'!$A:$B,2,0)</f>
        <v>8</v>
      </c>
      <c r="D60" s="48" t="s">
        <v>4</v>
      </c>
      <c r="E60" s="20">
        <f>VLOOKUP(D60, 'horarios BBDD'!$A:$B,2,0)</f>
        <v>0</v>
      </c>
      <c r="F60" s="48" t="s">
        <v>4</v>
      </c>
      <c r="G60" s="20">
        <f>VLOOKUP(F60, 'horarios BBDD'!$A:$B,2,0)</f>
        <v>0</v>
      </c>
      <c r="H60" s="70"/>
      <c r="I60" s="64">
        <v>0.0</v>
      </c>
      <c r="J60" s="2" t="s">
        <v>36</v>
      </c>
      <c r="K60" s="20">
        <f>VLOOKUP(J60, 'horarios BBDD'!$A:$B,2,0)</f>
        <v>8</v>
      </c>
      <c r="L60" s="2" t="s">
        <v>36</v>
      </c>
      <c r="M60" s="20">
        <f>VLOOKUP(L60, 'horarios BBDD'!$A:$B,2,0)</f>
        <v>8</v>
      </c>
      <c r="N60" s="2" t="s">
        <v>36</v>
      </c>
      <c r="O60" s="20">
        <v>8.0</v>
      </c>
      <c r="P60" s="21">
        <f t="shared" si="5"/>
        <v>32</v>
      </c>
      <c r="Q60" s="77" t="s">
        <v>179</v>
      </c>
    </row>
    <row r="61" ht="14.25" customHeight="1">
      <c r="A61" s="19" t="s">
        <v>70</v>
      </c>
      <c r="B61" s="46" t="s">
        <v>4</v>
      </c>
      <c r="C61" s="20">
        <f>VLOOKUP(B61, 'horarios BBDD'!$A:$B,2,0)</f>
        <v>0</v>
      </c>
      <c r="D61" s="47" t="s">
        <v>51</v>
      </c>
      <c r="E61" s="20">
        <f>VLOOKUP(D61, 'horarios BBDD'!$A:$B,2,0)</f>
        <v>8</v>
      </c>
      <c r="F61" s="47" t="s">
        <v>51</v>
      </c>
      <c r="G61" s="20">
        <f>VLOOKUP(F61, 'horarios BBDD'!$A:$B,2,0)</f>
        <v>8</v>
      </c>
      <c r="H61" s="47" t="s">
        <v>51</v>
      </c>
      <c r="I61" s="20">
        <f>VLOOKUP(H61, 'horarios BBDD'!$A:$B,2,0)</f>
        <v>8</v>
      </c>
      <c r="J61" s="47" t="s">
        <v>51</v>
      </c>
      <c r="K61" s="20">
        <f>VLOOKUP(J61, 'horarios BBDD'!$A:$B,2,0)</f>
        <v>8</v>
      </c>
      <c r="L61" s="47" t="s">
        <v>51</v>
      </c>
      <c r="M61" s="20">
        <f>VLOOKUP(L61, 'horarios BBDD'!$A:$B,2,0)</f>
        <v>8</v>
      </c>
      <c r="N61" s="46" t="s">
        <v>4</v>
      </c>
      <c r="O61" s="21">
        <f>VLOOKUP(N61, 'horarios BBDD'!$A:$B,2,0)</f>
        <v>0</v>
      </c>
      <c r="P61" s="20">
        <f t="shared" si="5"/>
        <v>40</v>
      </c>
      <c r="Q61" s="61"/>
    </row>
    <row r="62" ht="14.25" customHeight="1">
      <c r="A62" s="19" t="s">
        <v>72</v>
      </c>
      <c r="B62" s="46" t="s">
        <v>4</v>
      </c>
      <c r="C62" s="20">
        <f>VLOOKUP(B62, 'horarios BBDD'!$A:$B,2,0)</f>
        <v>0</v>
      </c>
      <c r="D62" s="2" t="s">
        <v>51</v>
      </c>
      <c r="E62" s="20">
        <f>VLOOKUP(D62, 'horarios BBDD'!$A:$B,2,0)</f>
        <v>8</v>
      </c>
      <c r="F62" s="2" t="s">
        <v>51</v>
      </c>
      <c r="G62" s="20">
        <f>VLOOKUP(F62, 'horarios BBDD'!$A:$B,2,0)</f>
        <v>8</v>
      </c>
      <c r="H62" s="46" t="s">
        <v>4</v>
      </c>
      <c r="I62" s="20">
        <f>VLOOKUP(H62, 'horarios BBDD'!$A:$B,2,0)</f>
        <v>0</v>
      </c>
      <c r="J62" s="2" t="s">
        <v>51</v>
      </c>
      <c r="K62" s="20">
        <f>VLOOKUP(J62, 'horarios BBDD'!$A:$B,2,0)</f>
        <v>8</v>
      </c>
      <c r="L62" s="2" t="s">
        <v>51</v>
      </c>
      <c r="M62" s="20">
        <f>VLOOKUP(L62, 'horarios BBDD'!$A:$B,2,0)</f>
        <v>8</v>
      </c>
      <c r="N62" s="2" t="s">
        <v>51</v>
      </c>
      <c r="O62" s="20">
        <v>8.0</v>
      </c>
      <c r="P62" s="21">
        <f t="shared" si="5"/>
        <v>40</v>
      </c>
      <c r="Q62" s="61"/>
    </row>
    <row r="63" ht="14.25" customHeight="1">
      <c r="A63" s="19" t="s">
        <v>96</v>
      </c>
      <c r="B63" s="46" t="s">
        <v>4</v>
      </c>
      <c r="C63" s="20">
        <f>VLOOKUP(B63, 'horarios BBDD'!$A:$B,2,0)</f>
        <v>0</v>
      </c>
      <c r="D63" s="47" t="s">
        <v>51</v>
      </c>
      <c r="E63" s="20">
        <f>VLOOKUP(D63, 'horarios BBDD'!$A:$B,2,0)</f>
        <v>8</v>
      </c>
      <c r="F63" s="47" t="s">
        <v>51</v>
      </c>
      <c r="G63" s="20">
        <f>VLOOKUP(F63, 'horarios BBDD'!$A:$B,2,0)</f>
        <v>8</v>
      </c>
      <c r="H63" s="46" t="s">
        <v>4</v>
      </c>
      <c r="I63" s="20">
        <f>VLOOKUP(H63, 'horarios BBDD'!$A:$B,2,0)</f>
        <v>0</v>
      </c>
      <c r="J63" s="79" t="s">
        <v>178</v>
      </c>
      <c r="K63" s="64">
        <v>8.0</v>
      </c>
      <c r="L63" s="47" t="s">
        <v>51</v>
      </c>
      <c r="M63" s="20">
        <f>VLOOKUP(L63, 'horarios BBDD'!$A:$B,2,0)</f>
        <v>8</v>
      </c>
      <c r="N63" s="2" t="s">
        <v>51</v>
      </c>
      <c r="O63" s="20">
        <v>8.0</v>
      </c>
      <c r="P63" s="20">
        <f t="shared" si="5"/>
        <v>40</v>
      </c>
      <c r="Q63" s="63" t="s">
        <v>180</v>
      </c>
    </row>
    <row r="64" ht="14.25" customHeight="1">
      <c r="A64" s="19" t="s">
        <v>92</v>
      </c>
      <c r="B64" s="47" t="s">
        <v>51</v>
      </c>
      <c r="C64" s="20">
        <f>VLOOKUP(B64, 'horarios BBDD'!$A:$B,2,0)</f>
        <v>8</v>
      </c>
      <c r="D64" s="50" t="s">
        <v>4</v>
      </c>
      <c r="E64" s="20">
        <f>VLOOKUP(D64, 'horarios BBDD'!$A:$B,2,0)</f>
        <v>0</v>
      </c>
      <c r="F64" s="48" t="s">
        <v>4</v>
      </c>
      <c r="G64" s="20">
        <f>VLOOKUP(F64, 'horarios BBDD'!$A:$B,2,0)</f>
        <v>0</v>
      </c>
      <c r="H64" s="47" t="s">
        <v>51</v>
      </c>
      <c r="I64" s="20">
        <f>VLOOKUP(H64, 'horarios BBDD'!$A:$B,2,0)</f>
        <v>8</v>
      </c>
      <c r="J64" s="47" t="s">
        <v>51</v>
      </c>
      <c r="K64" s="20">
        <f>VLOOKUP(J64, 'horarios BBDD'!$A:$B,2,0)</f>
        <v>8</v>
      </c>
      <c r="L64" s="47" t="s">
        <v>51</v>
      </c>
      <c r="M64" s="20">
        <f>VLOOKUP(L64, 'horarios BBDD'!$A:$B,2,0)</f>
        <v>8</v>
      </c>
      <c r="N64" s="2" t="s">
        <v>51</v>
      </c>
      <c r="O64" s="20">
        <v>8.0</v>
      </c>
      <c r="P64" s="21">
        <f t="shared" si="5"/>
        <v>40</v>
      </c>
      <c r="Q64" s="61"/>
    </row>
    <row r="65" ht="14.25" customHeight="1">
      <c r="A65" s="49" t="s">
        <v>76</v>
      </c>
      <c r="B65" s="70"/>
      <c r="C65" s="71">
        <v>0.0</v>
      </c>
      <c r="D65" s="70"/>
      <c r="E65" s="71">
        <v>0.0</v>
      </c>
      <c r="F65" s="73"/>
      <c r="G65" s="71">
        <v>0.0</v>
      </c>
      <c r="H65" s="73"/>
      <c r="I65" s="71">
        <v>0.0</v>
      </c>
      <c r="J65" s="73"/>
      <c r="K65" s="71">
        <v>0.0</v>
      </c>
      <c r="L65" s="73"/>
      <c r="M65" s="71">
        <v>0.0</v>
      </c>
      <c r="N65" s="73"/>
      <c r="O65" s="71">
        <v>0.0</v>
      </c>
      <c r="P65" s="20">
        <f t="shared" si="5"/>
        <v>0</v>
      </c>
      <c r="Q65" s="61"/>
    </row>
    <row r="66" ht="14.25" customHeight="1">
      <c r="A66" s="19" t="s">
        <v>74</v>
      </c>
      <c r="B66" s="48" t="s">
        <v>4</v>
      </c>
      <c r="C66" s="20">
        <f>VLOOKUP(B66, 'horarios BBDD'!$A:$B,2,0)</f>
        <v>0</v>
      </c>
      <c r="D66" s="2" t="s">
        <v>17</v>
      </c>
      <c r="E66" s="20">
        <f>VLOOKUP(D66, 'horarios BBDD'!$A:$B,2,0)</f>
        <v>8</v>
      </c>
      <c r="F66" s="2" t="s">
        <v>17</v>
      </c>
      <c r="G66" s="20">
        <f>VLOOKUP(F66, 'horarios BBDD'!$A:$B,2,0)</f>
        <v>8</v>
      </c>
      <c r="H66" s="2" t="s">
        <v>17</v>
      </c>
      <c r="I66" s="20">
        <f>VLOOKUP(H66, 'horarios BBDD'!$A:$B,2,0)</f>
        <v>8</v>
      </c>
      <c r="J66" s="2" t="s">
        <v>17</v>
      </c>
      <c r="K66" s="20">
        <f>VLOOKUP(J66, 'horarios BBDD'!$A:$B,2,0)</f>
        <v>8</v>
      </c>
      <c r="L66" s="2" t="s">
        <v>17</v>
      </c>
      <c r="M66" s="20">
        <f>VLOOKUP(L66, 'horarios BBDD'!$A:$B,2,0)</f>
        <v>8</v>
      </c>
      <c r="N66" s="46" t="s">
        <v>4</v>
      </c>
      <c r="O66" s="21">
        <f>VLOOKUP(N66, 'horarios BBDD'!$A:$B,2,0)</f>
        <v>0</v>
      </c>
      <c r="P66" s="21">
        <f t="shared" si="5"/>
        <v>40</v>
      </c>
      <c r="Q66" s="61"/>
    </row>
    <row r="67" ht="14.25" customHeight="1">
      <c r="A67" s="19" t="s">
        <v>84</v>
      </c>
      <c r="B67" s="47" t="s">
        <v>51</v>
      </c>
      <c r="C67" s="20">
        <f>VLOOKUP(B67, 'horarios BBDD'!$A:$B,2,0)</f>
        <v>8</v>
      </c>
      <c r="D67" s="47" t="s">
        <v>51</v>
      </c>
      <c r="E67" s="20">
        <f>VLOOKUP(D67, 'horarios BBDD'!$A:$B,2,0)</f>
        <v>8</v>
      </c>
      <c r="F67" s="48" t="s">
        <v>4</v>
      </c>
      <c r="G67" s="20">
        <f>VLOOKUP(F67, 'horarios BBDD'!$A:$B,2,0)</f>
        <v>0</v>
      </c>
      <c r="H67" s="48" t="s">
        <v>4</v>
      </c>
      <c r="I67" s="20">
        <f>VLOOKUP(H67, 'horarios BBDD'!$A:$B,2,0)</f>
        <v>0</v>
      </c>
      <c r="J67" s="47" t="s">
        <v>51</v>
      </c>
      <c r="K67" s="20">
        <f>VLOOKUP(J67, 'horarios BBDD'!$A:$B,2,0)</f>
        <v>8</v>
      </c>
      <c r="L67" s="47" t="s">
        <v>51</v>
      </c>
      <c r="M67" s="20">
        <f>VLOOKUP(L67, 'horarios BBDD'!$A:$B,2,0)</f>
        <v>8</v>
      </c>
      <c r="N67" s="47" t="s">
        <v>51</v>
      </c>
      <c r="O67" s="20">
        <v>8.0</v>
      </c>
      <c r="P67" s="20">
        <f t="shared" si="5"/>
        <v>40</v>
      </c>
      <c r="Q67" s="61"/>
    </row>
    <row r="68" ht="14.25" customHeight="1">
      <c r="A68" s="19" t="s">
        <v>98</v>
      </c>
      <c r="B68" s="2" t="s">
        <v>51</v>
      </c>
      <c r="C68" s="20">
        <f>VLOOKUP(B68, 'horarios BBDD'!$A:$B,2,0)</f>
        <v>8</v>
      </c>
      <c r="D68" s="50" t="s">
        <v>4</v>
      </c>
      <c r="E68" s="20">
        <f>VLOOKUP(D68, 'horarios BBDD'!$A:$B,2,0)</f>
        <v>0</v>
      </c>
      <c r="F68" s="50" t="s">
        <v>4</v>
      </c>
      <c r="G68" s="20">
        <f>VLOOKUP(F68, 'horarios BBDD'!$A:$B,2,0)</f>
        <v>0</v>
      </c>
      <c r="H68" s="2" t="s">
        <v>51</v>
      </c>
      <c r="I68" s="20">
        <f>VLOOKUP(H68, 'horarios BBDD'!$A:$B,2,0)</f>
        <v>8</v>
      </c>
      <c r="J68" s="2" t="s">
        <v>51</v>
      </c>
      <c r="K68" s="20">
        <f>VLOOKUP(J68, 'horarios BBDD'!$A:$B,2,0)</f>
        <v>8</v>
      </c>
      <c r="L68" s="2" t="s">
        <v>51</v>
      </c>
      <c r="M68" s="20">
        <f>VLOOKUP(L68, 'horarios BBDD'!$A:$B,2,0)</f>
        <v>8</v>
      </c>
      <c r="N68" s="2" t="s">
        <v>51</v>
      </c>
      <c r="O68" s="20">
        <f>VLOOKUP(N68, 'horarios BBDD'!$A:$B,2,0)</f>
        <v>8</v>
      </c>
      <c r="P68" s="21">
        <f t="shared" si="5"/>
        <v>40</v>
      </c>
      <c r="Q68" s="61"/>
    </row>
    <row r="69" ht="14.25" customHeight="1">
      <c r="A69" s="19" t="s">
        <v>80</v>
      </c>
      <c r="B69" s="2" t="s">
        <v>36</v>
      </c>
      <c r="C69" s="20">
        <f>VLOOKUP(B69, 'horarios BBDD'!$A:$B,2,0)</f>
        <v>8</v>
      </c>
      <c r="D69" s="2" t="s">
        <v>36</v>
      </c>
      <c r="E69" s="20">
        <f>VLOOKUP(D69, 'horarios BBDD'!$A:$B,2,0)</f>
        <v>8</v>
      </c>
      <c r="F69" s="48" t="s">
        <v>4</v>
      </c>
      <c r="G69" s="20">
        <v>0.0</v>
      </c>
      <c r="H69" s="85" t="s">
        <v>36</v>
      </c>
      <c r="I69" s="86">
        <f>VLOOKUP(H69, 'horarios BBDD'!$A:$B,2,0)</f>
        <v>8</v>
      </c>
      <c r="J69" s="2" t="s">
        <v>36</v>
      </c>
      <c r="K69" s="20">
        <f>VLOOKUP(J69, 'horarios BBDD'!$A:$B,2,0)</f>
        <v>8</v>
      </c>
      <c r="L69" s="2" t="s">
        <v>36</v>
      </c>
      <c r="M69" s="20">
        <f>VLOOKUP(L69, 'horarios BBDD'!$A:$B,2,0)</f>
        <v>8</v>
      </c>
      <c r="N69" s="48" t="s">
        <v>4</v>
      </c>
      <c r="O69" s="20">
        <v>0.0</v>
      </c>
      <c r="P69" s="20">
        <f t="shared" si="5"/>
        <v>40</v>
      </c>
      <c r="Q69" s="61"/>
    </row>
    <row r="70" ht="14.25" customHeight="1">
      <c r="A70" s="31" t="s">
        <v>78</v>
      </c>
      <c r="B70" s="87" t="s">
        <v>51</v>
      </c>
      <c r="C70" s="88">
        <f>VLOOKUP(B70, 'horarios BBDD'!$A:$B,2,0)</f>
        <v>8</v>
      </c>
      <c r="D70" s="87" t="s">
        <v>51</v>
      </c>
      <c r="E70" s="88">
        <f>VLOOKUP(D70, 'horarios BBDD'!$A:$B,2,0)</f>
        <v>8</v>
      </c>
      <c r="F70" s="87" t="s">
        <v>4</v>
      </c>
      <c r="G70" s="88">
        <f>VLOOKUP(F70, 'horarios BBDD'!$A:$B,2,0)</f>
        <v>0</v>
      </c>
      <c r="H70" s="87" t="s">
        <v>4</v>
      </c>
      <c r="I70" s="88">
        <f>VLOOKUP(H70, 'horarios BBDD'!$A:$B,2,0)</f>
        <v>0</v>
      </c>
      <c r="J70" s="2" t="s">
        <v>51</v>
      </c>
      <c r="K70" s="20">
        <f>VLOOKUP(J70, 'horarios BBDD'!$A:$B,2,0)</f>
        <v>8</v>
      </c>
      <c r="L70" s="2" t="s">
        <v>51</v>
      </c>
      <c r="M70" s="20">
        <f>VLOOKUP(L70, 'horarios BBDD'!$A:$B,2,0)</f>
        <v>8</v>
      </c>
      <c r="N70" s="2" t="s">
        <v>51</v>
      </c>
      <c r="O70" s="20">
        <f>VLOOKUP(N70, 'horarios BBDD'!$A:$B,2,0)</f>
        <v>8</v>
      </c>
      <c r="P70" s="21">
        <f t="shared" si="5"/>
        <v>40</v>
      </c>
      <c r="Q70" s="77" t="s">
        <v>181</v>
      </c>
    </row>
    <row r="71" ht="14.25" customHeight="1">
      <c r="A71" s="19" t="s">
        <v>94</v>
      </c>
      <c r="B71" s="2" t="s">
        <v>36</v>
      </c>
      <c r="C71" s="20">
        <f>VLOOKUP(B71, 'horarios BBDD'!$A:$B,2,0)</f>
        <v>8</v>
      </c>
      <c r="D71" s="48" t="s">
        <v>4</v>
      </c>
      <c r="E71" s="20">
        <f>VLOOKUP(D71, 'horarios BBDD'!$A:$B,2,0)</f>
        <v>0</v>
      </c>
      <c r="F71" s="2" t="s">
        <v>36</v>
      </c>
      <c r="G71" s="20">
        <f>VLOOKUP(F71, 'horarios BBDD'!$A:$B,2,0)</f>
        <v>8</v>
      </c>
      <c r="H71" s="2" t="s">
        <v>36</v>
      </c>
      <c r="I71" s="20">
        <f>VLOOKUP(H71, 'horarios BBDD'!$A:$B,2,0)</f>
        <v>8</v>
      </c>
      <c r="J71" s="2" t="s">
        <v>36</v>
      </c>
      <c r="K71" s="20">
        <f>VLOOKUP(J71, 'horarios BBDD'!$A:$B,2,0)</f>
        <v>8</v>
      </c>
      <c r="L71" s="2" t="s">
        <v>36</v>
      </c>
      <c r="M71" s="20">
        <f>VLOOKUP(L71, 'horarios BBDD'!$A:$B,2,0)</f>
        <v>8</v>
      </c>
      <c r="N71" s="50" t="s">
        <v>4</v>
      </c>
      <c r="O71" s="20">
        <v>0.0</v>
      </c>
      <c r="P71" s="20">
        <f t="shared" si="5"/>
        <v>40</v>
      </c>
      <c r="Q71" s="61"/>
    </row>
    <row r="72" ht="14.25" customHeight="1">
      <c r="A72" s="49" t="s">
        <v>86</v>
      </c>
      <c r="B72" s="48" t="s">
        <v>4</v>
      </c>
      <c r="C72" s="20">
        <f>VLOOKUP(B72, 'horarios BBDD'!$A:$B,2,0)</f>
        <v>0</v>
      </c>
      <c r="D72" s="48" t="s">
        <v>4</v>
      </c>
      <c r="E72" s="20">
        <f>VLOOKUP(D72, 'horarios BBDD'!$A:$B,2,0)</f>
        <v>0</v>
      </c>
      <c r="F72" s="48" t="s">
        <v>4</v>
      </c>
      <c r="G72" s="20">
        <f>VLOOKUP(F72, 'horarios BBDD'!$A:$B,2,0)</f>
        <v>0</v>
      </c>
      <c r="H72" s="2" t="s">
        <v>17</v>
      </c>
      <c r="I72" s="20">
        <f>VLOOKUP(H72, 'horarios BBDD'!$A:$B,2,0)</f>
        <v>8</v>
      </c>
      <c r="J72" s="2" t="s">
        <v>17</v>
      </c>
      <c r="K72" s="20">
        <f>VLOOKUP(J72, 'horarios BBDD'!$A:$B,2,0)</f>
        <v>8</v>
      </c>
      <c r="L72" s="2" t="s">
        <v>17</v>
      </c>
      <c r="M72" s="20">
        <f>VLOOKUP(L72, 'horarios BBDD'!$A:$B,2,0)</f>
        <v>8</v>
      </c>
      <c r="N72" s="2" t="s">
        <v>51</v>
      </c>
      <c r="O72" s="20">
        <v>8.0</v>
      </c>
      <c r="P72" s="21">
        <f t="shared" si="5"/>
        <v>32</v>
      </c>
      <c r="Q72" s="63" t="s">
        <v>182</v>
      </c>
    </row>
    <row r="73" ht="14.25" customHeight="1">
      <c r="N73" s="89" t="s">
        <v>183</v>
      </c>
    </row>
    <row r="74" ht="14.25" customHeight="1">
      <c r="A74" s="66" t="s">
        <v>184</v>
      </c>
      <c r="B74" s="67"/>
    </row>
    <row r="75" ht="14.25" customHeight="1">
      <c r="A75" s="10" t="s">
        <v>65</v>
      </c>
      <c r="B75" s="10" t="s">
        <v>185</v>
      </c>
      <c r="C75" s="45"/>
      <c r="D75" s="10" t="s">
        <v>186</v>
      </c>
      <c r="E75" s="45"/>
      <c r="F75" s="10" t="s">
        <v>187</v>
      </c>
      <c r="G75" s="45"/>
      <c r="H75" s="10" t="s">
        <v>188</v>
      </c>
      <c r="I75" s="45"/>
      <c r="J75" s="10" t="s">
        <v>189</v>
      </c>
      <c r="K75" s="45"/>
      <c r="L75" s="10" t="s">
        <v>190</v>
      </c>
      <c r="M75" s="45"/>
      <c r="N75" s="10" t="s">
        <v>191</v>
      </c>
      <c r="O75" s="10"/>
      <c r="P75" s="10" t="s">
        <v>107</v>
      </c>
      <c r="Q75" s="60" t="s">
        <v>138</v>
      </c>
    </row>
    <row r="76" ht="14.25" customHeight="1">
      <c r="A76" s="19" t="s">
        <v>82</v>
      </c>
      <c r="B76" s="90" t="s">
        <v>51</v>
      </c>
      <c r="C76" s="91">
        <v>8.0</v>
      </c>
      <c r="D76" s="91" t="s">
        <v>51</v>
      </c>
      <c r="E76" s="91">
        <v>8.0</v>
      </c>
      <c r="F76" s="92" t="s">
        <v>4</v>
      </c>
      <c r="G76" s="91">
        <v>0.0</v>
      </c>
      <c r="H76" s="91" t="s">
        <v>164</v>
      </c>
      <c r="I76" s="91">
        <v>8.0</v>
      </c>
      <c r="J76" s="91" t="s">
        <v>51</v>
      </c>
      <c r="K76" s="91">
        <v>8.0</v>
      </c>
      <c r="L76" s="91" t="s">
        <v>51</v>
      </c>
      <c r="M76" s="91">
        <v>8.0</v>
      </c>
      <c r="N76" s="92" t="s">
        <v>4</v>
      </c>
      <c r="O76" s="91">
        <v>0.0</v>
      </c>
      <c r="P76" s="21">
        <f t="shared" ref="P76:P90" si="6">O76+M76+K76+I76+G76+E76+C76</f>
        <v>40</v>
      </c>
      <c r="Q76" s="61"/>
    </row>
    <row r="77" ht="14.25" customHeight="1">
      <c r="A77" s="31" t="s">
        <v>90</v>
      </c>
      <c r="B77" s="81" t="s">
        <v>4</v>
      </c>
      <c r="C77" s="80">
        <v>0.0</v>
      </c>
      <c r="D77" s="80"/>
      <c r="E77" s="80"/>
      <c r="F77" s="80" t="s">
        <v>15</v>
      </c>
      <c r="G77" s="80">
        <v>4.0</v>
      </c>
      <c r="H77" s="81" t="s">
        <v>4</v>
      </c>
      <c r="I77" s="80">
        <v>0.0</v>
      </c>
      <c r="J77" s="80" t="s">
        <v>51</v>
      </c>
      <c r="K77" s="80">
        <v>8.0</v>
      </c>
      <c r="L77" s="83" t="s">
        <v>51</v>
      </c>
      <c r="M77" s="83">
        <v>8.0</v>
      </c>
      <c r="N77" s="83" t="s">
        <v>17</v>
      </c>
      <c r="O77" s="83">
        <v>8.0</v>
      </c>
      <c r="P77" s="20">
        <f t="shared" si="6"/>
        <v>28</v>
      </c>
      <c r="Q77" s="77" t="s">
        <v>192</v>
      </c>
    </row>
    <row r="78" ht="14.25" customHeight="1">
      <c r="A78" s="31" t="s">
        <v>88</v>
      </c>
      <c r="B78" s="93" t="s">
        <v>36</v>
      </c>
      <c r="C78" s="80">
        <v>8.0</v>
      </c>
      <c r="D78" s="81" t="s">
        <v>4</v>
      </c>
      <c r="E78" s="80">
        <v>0.0</v>
      </c>
      <c r="F78" s="80" t="s">
        <v>15</v>
      </c>
      <c r="G78" s="80">
        <v>4.0</v>
      </c>
      <c r="H78" s="81" t="s">
        <v>4</v>
      </c>
      <c r="I78" s="80">
        <v>0.0</v>
      </c>
      <c r="J78" s="80" t="s">
        <v>36</v>
      </c>
      <c r="K78" s="80">
        <v>8.0</v>
      </c>
      <c r="L78" s="80" t="s">
        <v>36</v>
      </c>
      <c r="M78" s="80">
        <v>8.0</v>
      </c>
      <c r="N78" s="80" t="s">
        <v>36</v>
      </c>
      <c r="O78" s="80">
        <v>8.0</v>
      </c>
      <c r="P78" s="21">
        <f t="shared" si="6"/>
        <v>36</v>
      </c>
      <c r="Q78" s="61"/>
    </row>
    <row r="79" ht="14.25" customHeight="1">
      <c r="A79" s="19" t="s">
        <v>70</v>
      </c>
      <c r="B79" s="80" t="s">
        <v>51</v>
      </c>
      <c r="C79" s="80">
        <v>8.0</v>
      </c>
      <c r="D79" s="80" t="s">
        <v>51</v>
      </c>
      <c r="E79" s="80">
        <v>8.0</v>
      </c>
      <c r="F79" s="80" t="s">
        <v>15</v>
      </c>
      <c r="G79" s="80">
        <v>4.0</v>
      </c>
      <c r="H79" s="80" t="s">
        <v>164</v>
      </c>
      <c r="I79" s="80">
        <v>8.0</v>
      </c>
      <c r="J79" s="80" t="s">
        <v>164</v>
      </c>
      <c r="K79" s="80">
        <v>8.0</v>
      </c>
      <c r="L79" s="80" t="s">
        <v>51</v>
      </c>
      <c r="M79" s="80">
        <v>8.0</v>
      </c>
      <c r="N79" s="81" t="s">
        <v>4</v>
      </c>
      <c r="O79" s="80">
        <v>0.0</v>
      </c>
      <c r="P79" s="20">
        <f t="shared" si="6"/>
        <v>44</v>
      </c>
      <c r="Q79" s="61"/>
    </row>
    <row r="80" ht="14.25" customHeight="1">
      <c r="A80" s="19" t="s">
        <v>72</v>
      </c>
      <c r="B80" s="93" t="s">
        <v>51</v>
      </c>
      <c r="C80" s="80">
        <v>8.0</v>
      </c>
      <c r="D80" s="80" t="s">
        <v>51</v>
      </c>
      <c r="E80" s="80">
        <v>8.0</v>
      </c>
      <c r="F80" s="81" t="s">
        <v>4</v>
      </c>
      <c r="G80" s="80">
        <v>0.0</v>
      </c>
      <c r="H80" s="80" t="s">
        <v>164</v>
      </c>
      <c r="I80" s="80">
        <v>0.0</v>
      </c>
      <c r="J80" s="80" t="s">
        <v>51</v>
      </c>
      <c r="K80" s="80">
        <v>8.0</v>
      </c>
      <c r="L80" s="80" t="s">
        <v>51</v>
      </c>
      <c r="M80" s="80">
        <v>8.0</v>
      </c>
      <c r="N80" s="80" t="s">
        <v>51</v>
      </c>
      <c r="O80" s="80">
        <v>8.0</v>
      </c>
      <c r="P80" s="21">
        <f t="shared" si="6"/>
        <v>40</v>
      </c>
      <c r="Q80" s="61"/>
    </row>
    <row r="81" ht="14.25" customHeight="1">
      <c r="A81" s="19" t="s">
        <v>96</v>
      </c>
      <c r="B81" s="93" t="s">
        <v>51</v>
      </c>
      <c r="C81" s="80">
        <v>8.0</v>
      </c>
      <c r="D81" s="80" t="s">
        <v>51</v>
      </c>
      <c r="E81" s="80">
        <v>8.0</v>
      </c>
      <c r="F81" s="81" t="s">
        <v>4</v>
      </c>
      <c r="G81" s="80">
        <v>0.0</v>
      </c>
      <c r="H81" s="80" t="s">
        <v>164</v>
      </c>
      <c r="I81" s="80">
        <v>0.0</v>
      </c>
      <c r="J81" s="80" t="s">
        <v>51</v>
      </c>
      <c r="K81" s="80">
        <v>8.0</v>
      </c>
      <c r="L81" s="80" t="s">
        <v>51</v>
      </c>
      <c r="M81" s="80">
        <v>8.0</v>
      </c>
      <c r="N81" s="80" t="s">
        <v>51</v>
      </c>
      <c r="O81" s="80">
        <v>8.0</v>
      </c>
      <c r="P81" s="20">
        <f t="shared" si="6"/>
        <v>40</v>
      </c>
      <c r="Q81" s="61"/>
    </row>
    <row r="82" ht="14.25" customHeight="1">
      <c r="A82" s="19" t="s">
        <v>92</v>
      </c>
      <c r="B82" s="93" t="s">
        <v>51</v>
      </c>
      <c r="C82" s="80">
        <v>8.0</v>
      </c>
      <c r="D82" s="80" t="s">
        <v>51</v>
      </c>
      <c r="E82" s="80">
        <v>8.0</v>
      </c>
      <c r="F82" s="81" t="s">
        <v>4</v>
      </c>
      <c r="G82" s="80">
        <v>0.0</v>
      </c>
      <c r="H82" s="80" t="s">
        <v>164</v>
      </c>
      <c r="I82" s="80">
        <v>8.0</v>
      </c>
      <c r="J82" s="80" t="s">
        <v>51</v>
      </c>
      <c r="K82" s="80">
        <v>8.0</v>
      </c>
      <c r="L82" s="80" t="s">
        <v>51</v>
      </c>
      <c r="M82" s="80">
        <v>8.0</v>
      </c>
      <c r="N82" s="80" t="s">
        <v>51</v>
      </c>
      <c r="O82" s="80">
        <v>8.0</v>
      </c>
      <c r="P82" s="21">
        <f t="shared" si="6"/>
        <v>48</v>
      </c>
      <c r="Q82" s="61"/>
    </row>
    <row r="83" ht="14.25" customHeight="1">
      <c r="A83" s="49" t="s">
        <v>76</v>
      </c>
      <c r="B83" s="93" t="s">
        <v>51</v>
      </c>
      <c r="C83" s="80">
        <v>8.0</v>
      </c>
      <c r="D83" s="80" t="s">
        <v>51</v>
      </c>
      <c r="E83" s="80">
        <v>8.0</v>
      </c>
      <c r="F83" s="80" t="s">
        <v>15</v>
      </c>
      <c r="G83" s="80">
        <v>4.0</v>
      </c>
      <c r="H83" s="80" t="s">
        <v>164</v>
      </c>
      <c r="I83" s="80">
        <v>0.0</v>
      </c>
      <c r="J83" s="80" t="s">
        <v>51</v>
      </c>
      <c r="K83" s="80">
        <v>8.0</v>
      </c>
      <c r="L83" s="80" t="s">
        <v>51</v>
      </c>
      <c r="M83" s="80">
        <v>8.0</v>
      </c>
      <c r="N83" s="80" t="s">
        <v>51</v>
      </c>
      <c r="O83" s="80">
        <v>8.0</v>
      </c>
      <c r="P83" s="20">
        <f t="shared" si="6"/>
        <v>44</v>
      </c>
      <c r="Q83" s="77" t="s">
        <v>193</v>
      </c>
    </row>
    <row r="84" ht="14.25" customHeight="1">
      <c r="A84" s="19" t="s">
        <v>74</v>
      </c>
      <c r="B84" s="93" t="s">
        <v>17</v>
      </c>
      <c r="C84" s="80">
        <v>8.0</v>
      </c>
      <c r="D84" s="80" t="s">
        <v>17</v>
      </c>
      <c r="E84" s="80">
        <v>8.0</v>
      </c>
      <c r="F84" s="80" t="s">
        <v>15</v>
      </c>
      <c r="G84" s="80">
        <v>4.0</v>
      </c>
      <c r="H84" s="80" t="s">
        <v>164</v>
      </c>
      <c r="I84" s="80">
        <v>0.0</v>
      </c>
      <c r="J84" s="80" t="s">
        <v>17</v>
      </c>
      <c r="K84" s="80">
        <v>8.0</v>
      </c>
      <c r="L84" s="80" t="s">
        <v>17</v>
      </c>
      <c r="M84" s="80">
        <v>8.0</v>
      </c>
      <c r="N84" s="81" t="s">
        <v>4</v>
      </c>
      <c r="O84" s="80">
        <v>0.0</v>
      </c>
      <c r="P84" s="21">
        <f t="shared" si="6"/>
        <v>36</v>
      </c>
      <c r="Q84" s="61"/>
    </row>
    <row r="85" ht="14.25" customHeight="1">
      <c r="A85" s="19" t="s">
        <v>84</v>
      </c>
      <c r="B85" s="94" t="s">
        <v>194</v>
      </c>
      <c r="C85" s="95">
        <v>4.0</v>
      </c>
      <c r="D85" s="95" t="s">
        <v>51</v>
      </c>
      <c r="E85" s="95">
        <v>8.0</v>
      </c>
      <c r="F85" s="81" t="s">
        <v>4</v>
      </c>
      <c r="G85" s="80">
        <v>0.0</v>
      </c>
      <c r="H85" s="81" t="s">
        <v>4</v>
      </c>
      <c r="I85" s="80">
        <v>0.0</v>
      </c>
      <c r="J85" s="80" t="s">
        <v>51</v>
      </c>
      <c r="K85" s="80">
        <v>8.0</v>
      </c>
      <c r="L85" s="80" t="s">
        <v>51</v>
      </c>
      <c r="M85" s="80">
        <v>8.0</v>
      </c>
      <c r="N85" s="80" t="s">
        <v>51</v>
      </c>
      <c r="O85" s="80">
        <v>8.0</v>
      </c>
      <c r="P85" s="20">
        <f t="shared" si="6"/>
        <v>36</v>
      </c>
      <c r="Q85" s="77" t="s">
        <v>195</v>
      </c>
    </row>
    <row r="86" ht="14.25" customHeight="1">
      <c r="A86" s="19" t="s">
        <v>98</v>
      </c>
      <c r="B86" s="93" t="s">
        <v>51</v>
      </c>
      <c r="C86" s="80">
        <v>8.0</v>
      </c>
      <c r="D86" s="96" t="s">
        <v>194</v>
      </c>
      <c r="E86" s="96">
        <v>4.0</v>
      </c>
      <c r="F86" s="80" t="s">
        <v>15</v>
      </c>
      <c r="G86" s="80">
        <v>4.0</v>
      </c>
      <c r="H86" s="80" t="s">
        <v>164</v>
      </c>
      <c r="I86" s="80">
        <v>0.0</v>
      </c>
      <c r="J86" s="80" t="s">
        <v>51</v>
      </c>
      <c r="K86" s="80">
        <v>8.0</v>
      </c>
      <c r="L86" s="80" t="s">
        <v>51</v>
      </c>
      <c r="M86" s="80">
        <v>8.0</v>
      </c>
      <c r="N86" s="80" t="s">
        <v>51</v>
      </c>
      <c r="O86" s="80">
        <v>8.0</v>
      </c>
      <c r="P86" s="21">
        <f t="shared" si="6"/>
        <v>40</v>
      </c>
      <c r="Q86" s="61"/>
    </row>
    <row r="87" ht="14.25" customHeight="1">
      <c r="A87" s="19" t="s">
        <v>80</v>
      </c>
      <c r="B87" s="93" t="s">
        <v>36</v>
      </c>
      <c r="C87" s="80">
        <v>8.0</v>
      </c>
      <c r="D87" s="80" t="s">
        <v>36</v>
      </c>
      <c r="E87" s="80">
        <v>8.0</v>
      </c>
      <c r="F87" s="81" t="s">
        <v>4</v>
      </c>
      <c r="G87" s="80">
        <v>0.0</v>
      </c>
      <c r="H87" s="80" t="s">
        <v>164</v>
      </c>
      <c r="I87" s="80">
        <v>8.0</v>
      </c>
      <c r="J87" s="80" t="s">
        <v>36</v>
      </c>
      <c r="K87" s="80">
        <v>8.0</v>
      </c>
      <c r="L87" s="80" t="s">
        <v>36</v>
      </c>
      <c r="M87" s="80">
        <v>8.0</v>
      </c>
      <c r="N87" s="81" t="s">
        <v>4</v>
      </c>
      <c r="O87" s="80">
        <v>0.0</v>
      </c>
      <c r="P87" s="20">
        <f t="shared" si="6"/>
        <v>40</v>
      </c>
      <c r="Q87" s="61"/>
    </row>
    <row r="88" ht="14.25" customHeight="1">
      <c r="A88" s="31" t="s">
        <v>78</v>
      </c>
      <c r="B88" s="97" t="s">
        <v>194</v>
      </c>
      <c r="C88" s="96">
        <v>4.0</v>
      </c>
      <c r="D88" s="80" t="s">
        <v>51</v>
      </c>
      <c r="E88" s="80">
        <v>8.0</v>
      </c>
      <c r="F88" s="80" t="s">
        <v>15</v>
      </c>
      <c r="G88" s="80">
        <v>4.0</v>
      </c>
      <c r="H88" s="81" t="s">
        <v>4</v>
      </c>
      <c r="I88" s="80">
        <v>0.0</v>
      </c>
      <c r="J88" s="83" t="s">
        <v>51</v>
      </c>
      <c r="K88" s="83">
        <v>8.0</v>
      </c>
      <c r="L88" s="83" t="s">
        <v>51</v>
      </c>
      <c r="M88" s="83">
        <v>8.0</v>
      </c>
      <c r="N88" s="83" t="s">
        <v>51</v>
      </c>
      <c r="O88" s="83">
        <v>8.0</v>
      </c>
      <c r="P88" s="21">
        <f t="shared" si="6"/>
        <v>40</v>
      </c>
      <c r="Q88" s="61"/>
    </row>
    <row r="89" ht="14.25" customHeight="1">
      <c r="A89" s="19" t="s">
        <v>94</v>
      </c>
      <c r="B89" s="93" t="s">
        <v>36</v>
      </c>
      <c r="C89" s="80">
        <v>8.0</v>
      </c>
      <c r="D89" s="80" t="s">
        <v>36</v>
      </c>
      <c r="E89" s="80">
        <v>8.0</v>
      </c>
      <c r="F89" s="80" t="s">
        <v>15</v>
      </c>
      <c r="G89" s="80">
        <v>4.0</v>
      </c>
      <c r="H89" s="80" t="s">
        <v>164</v>
      </c>
      <c r="I89" s="80">
        <v>8.0</v>
      </c>
      <c r="J89" s="80" t="s">
        <v>36</v>
      </c>
      <c r="K89" s="80">
        <v>8.0</v>
      </c>
      <c r="L89" s="80" t="s">
        <v>36</v>
      </c>
      <c r="M89" s="80">
        <v>8.0</v>
      </c>
      <c r="N89" s="81" t="s">
        <v>4</v>
      </c>
      <c r="O89" s="80">
        <v>0.0</v>
      </c>
      <c r="P89" s="20">
        <f t="shared" si="6"/>
        <v>44</v>
      </c>
      <c r="Q89" s="61"/>
    </row>
    <row r="90" ht="14.25" customHeight="1">
      <c r="A90" s="49" t="s">
        <v>86</v>
      </c>
      <c r="B90" s="80" t="s">
        <v>17</v>
      </c>
      <c r="C90" s="80">
        <v>8.0</v>
      </c>
      <c r="D90" s="80" t="s">
        <v>17</v>
      </c>
      <c r="E90" s="80">
        <v>8.0</v>
      </c>
      <c r="F90" s="80" t="s">
        <v>15</v>
      </c>
      <c r="G90" s="80">
        <v>4.0</v>
      </c>
      <c r="H90" s="80" t="s">
        <v>164</v>
      </c>
      <c r="I90" s="80">
        <v>8.0</v>
      </c>
      <c r="J90" s="80" t="s">
        <v>17</v>
      </c>
      <c r="K90" s="80">
        <v>8.0</v>
      </c>
      <c r="L90" s="80" t="s">
        <v>17</v>
      </c>
      <c r="M90" s="80">
        <v>8.0</v>
      </c>
      <c r="N90" s="80" t="s">
        <v>51</v>
      </c>
      <c r="O90" s="80">
        <v>8.0</v>
      </c>
      <c r="P90" s="21">
        <f t="shared" si="6"/>
        <v>52</v>
      </c>
      <c r="Q90" s="61"/>
    </row>
    <row r="91" ht="14.25" customHeight="1"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9" t="s">
        <v>183</v>
      </c>
      <c r="O91" s="98"/>
    </row>
    <row r="92" ht="14.25" customHeight="1"/>
    <row r="93" ht="14.25" customHeight="1">
      <c r="A93" s="100" t="s">
        <v>196</v>
      </c>
      <c r="B93" s="101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</row>
    <row r="94" ht="14.25" customHeight="1">
      <c r="A94" s="103" t="s">
        <v>65</v>
      </c>
      <c r="B94" s="103" t="s">
        <v>197</v>
      </c>
      <c r="C94" s="104"/>
      <c r="D94" s="103" t="s">
        <v>198</v>
      </c>
      <c r="E94" s="104"/>
      <c r="F94" s="103" t="s">
        <v>199</v>
      </c>
      <c r="G94" s="104"/>
      <c r="H94" s="103" t="s">
        <v>200</v>
      </c>
      <c r="I94" s="104"/>
      <c r="J94" s="103" t="s">
        <v>201</v>
      </c>
      <c r="K94" s="104"/>
      <c r="L94" s="103" t="s">
        <v>202</v>
      </c>
      <c r="M94" s="104"/>
      <c r="N94" s="103" t="s">
        <v>203</v>
      </c>
      <c r="O94" s="105"/>
      <c r="P94" s="103" t="s">
        <v>107</v>
      </c>
      <c r="Q94" s="60" t="s">
        <v>138</v>
      </c>
    </row>
    <row r="95" ht="14.25" customHeight="1">
      <c r="A95" s="106" t="s">
        <v>82</v>
      </c>
      <c r="B95" s="107" t="s">
        <v>51</v>
      </c>
      <c r="C95" s="107">
        <v>8.0</v>
      </c>
      <c r="D95" s="107" t="s">
        <v>51</v>
      </c>
      <c r="E95" s="107">
        <v>8.0</v>
      </c>
      <c r="F95" s="80" t="s">
        <v>15</v>
      </c>
      <c r="G95" s="80">
        <v>4.0</v>
      </c>
      <c r="H95" s="107" t="s">
        <v>164</v>
      </c>
      <c r="I95" s="107">
        <v>8.0</v>
      </c>
      <c r="J95" s="107" t="s">
        <v>51</v>
      </c>
      <c r="K95" s="107">
        <v>8.0</v>
      </c>
      <c r="L95" s="107" t="s">
        <v>51</v>
      </c>
      <c r="M95" s="107">
        <v>8.0</v>
      </c>
      <c r="N95" s="107" t="s">
        <v>51</v>
      </c>
      <c r="O95" s="107">
        <v>8.0</v>
      </c>
      <c r="P95" s="108">
        <f t="shared" ref="P95:P109" si="7">C95+E95+G95+I95+K95+M95+O95</f>
        <v>52</v>
      </c>
      <c r="Q95" s="77" t="s">
        <v>204</v>
      </c>
    </row>
    <row r="96" ht="14.25" customHeight="1">
      <c r="A96" s="109" t="s">
        <v>90</v>
      </c>
      <c r="B96" s="110" t="s">
        <v>194</v>
      </c>
      <c r="C96" s="111">
        <v>4.0</v>
      </c>
      <c r="D96" s="111" t="s">
        <v>51</v>
      </c>
      <c r="E96" s="111">
        <v>8.0</v>
      </c>
      <c r="F96" s="111" t="s">
        <v>4</v>
      </c>
      <c r="G96" s="111">
        <v>0.0</v>
      </c>
      <c r="H96" s="111" t="s">
        <v>164</v>
      </c>
      <c r="I96" s="111">
        <v>8.0</v>
      </c>
      <c r="J96" s="111" t="s">
        <v>51</v>
      </c>
      <c r="K96" s="111">
        <v>8.0</v>
      </c>
      <c r="L96" s="111" t="s">
        <v>51</v>
      </c>
      <c r="M96" s="111">
        <v>8.0</v>
      </c>
      <c r="N96" s="83" t="s">
        <v>17</v>
      </c>
      <c r="O96" s="83">
        <v>8.0</v>
      </c>
      <c r="P96" s="108">
        <f t="shared" si="7"/>
        <v>44</v>
      </c>
      <c r="Q96" s="77" t="s">
        <v>192</v>
      </c>
    </row>
    <row r="97" ht="14.25" customHeight="1">
      <c r="A97" s="109" t="s">
        <v>88</v>
      </c>
      <c r="B97" s="97" t="s">
        <v>36</v>
      </c>
      <c r="C97" s="96">
        <v>8.0</v>
      </c>
      <c r="D97" s="96" t="s">
        <v>194</v>
      </c>
      <c r="E97" s="96">
        <v>4.0</v>
      </c>
      <c r="F97" s="112" t="s">
        <v>4</v>
      </c>
      <c r="G97" s="96">
        <v>0.0</v>
      </c>
      <c r="H97" s="96" t="s">
        <v>164</v>
      </c>
      <c r="I97" s="96">
        <v>8.0</v>
      </c>
      <c r="J97" s="96" t="s">
        <v>36</v>
      </c>
      <c r="K97" s="96">
        <v>8.0</v>
      </c>
      <c r="L97" s="96" t="s">
        <v>36</v>
      </c>
      <c r="M97" s="96">
        <v>8.0</v>
      </c>
      <c r="N97" s="80" t="s">
        <v>36</v>
      </c>
      <c r="O97" s="80">
        <v>8.0</v>
      </c>
      <c r="P97" s="108">
        <f t="shared" si="7"/>
        <v>44</v>
      </c>
      <c r="Q97" s="61"/>
    </row>
    <row r="98" ht="14.25" customHeight="1">
      <c r="A98" s="106" t="s">
        <v>70</v>
      </c>
      <c r="B98" s="96" t="s">
        <v>51</v>
      </c>
      <c r="C98" s="96">
        <v>8.0</v>
      </c>
      <c r="D98" s="96" t="s">
        <v>51</v>
      </c>
      <c r="E98" s="96">
        <v>8.0</v>
      </c>
      <c r="F98" s="112" t="s">
        <v>4</v>
      </c>
      <c r="G98" s="96">
        <v>0.0</v>
      </c>
      <c r="H98" s="96" t="s">
        <v>164</v>
      </c>
      <c r="I98" s="96">
        <v>8.0</v>
      </c>
      <c r="J98" s="96" t="s">
        <v>51</v>
      </c>
      <c r="K98" s="96">
        <v>8.0</v>
      </c>
      <c r="L98" s="96" t="s">
        <v>51</v>
      </c>
      <c r="M98" s="96">
        <v>8.0</v>
      </c>
      <c r="N98" s="112" t="s">
        <v>4</v>
      </c>
      <c r="O98" s="96">
        <v>0.0</v>
      </c>
      <c r="P98" s="108">
        <f t="shared" si="7"/>
        <v>40</v>
      </c>
      <c r="Q98" s="61"/>
    </row>
    <row r="99" ht="14.25" customHeight="1">
      <c r="A99" s="106" t="s">
        <v>72</v>
      </c>
      <c r="B99" s="96" t="s">
        <v>51</v>
      </c>
      <c r="C99" s="96">
        <v>8.0</v>
      </c>
      <c r="D99" s="96" t="s">
        <v>51</v>
      </c>
      <c r="E99" s="96">
        <v>8.0</v>
      </c>
      <c r="F99" s="80" t="s">
        <v>15</v>
      </c>
      <c r="G99" s="80">
        <v>4.0</v>
      </c>
      <c r="H99" s="96" t="s">
        <v>164</v>
      </c>
      <c r="I99" s="96">
        <v>8.0</v>
      </c>
      <c r="J99" s="96" t="s">
        <v>51</v>
      </c>
      <c r="K99" s="96">
        <v>8.0</v>
      </c>
      <c r="L99" s="96" t="s">
        <v>51</v>
      </c>
      <c r="M99" s="96">
        <v>8.0</v>
      </c>
      <c r="N99" s="112" t="s">
        <v>4</v>
      </c>
      <c r="O99" s="96">
        <v>0.0</v>
      </c>
      <c r="P99" s="108">
        <f t="shared" si="7"/>
        <v>44</v>
      </c>
      <c r="Q99" s="61"/>
    </row>
    <row r="100" ht="14.25" customHeight="1">
      <c r="A100" s="106" t="s">
        <v>96</v>
      </c>
      <c r="B100" s="96" t="s">
        <v>51</v>
      </c>
      <c r="C100" s="96">
        <v>8.0</v>
      </c>
      <c r="D100" s="96" t="s">
        <v>51</v>
      </c>
      <c r="E100" s="96">
        <v>8.0</v>
      </c>
      <c r="F100" s="80" t="s">
        <v>15</v>
      </c>
      <c r="G100" s="80">
        <v>4.0</v>
      </c>
      <c r="H100" s="96" t="s">
        <v>164</v>
      </c>
      <c r="I100" s="96">
        <v>0.0</v>
      </c>
      <c r="J100" s="96" t="s">
        <v>51</v>
      </c>
      <c r="K100" s="96">
        <v>8.0</v>
      </c>
      <c r="L100" s="96" t="s">
        <v>51</v>
      </c>
      <c r="M100" s="96">
        <v>8.0</v>
      </c>
      <c r="N100" s="96" t="s">
        <v>51</v>
      </c>
      <c r="O100" s="96">
        <v>8.0</v>
      </c>
      <c r="P100" s="108">
        <f t="shared" si="7"/>
        <v>44</v>
      </c>
      <c r="Q100" s="61"/>
    </row>
    <row r="101" ht="14.25" customHeight="1">
      <c r="A101" s="106" t="s">
        <v>92</v>
      </c>
      <c r="B101" s="97" t="s">
        <v>51</v>
      </c>
      <c r="C101" s="96">
        <v>8.0</v>
      </c>
      <c r="D101" s="96" t="s">
        <v>51</v>
      </c>
      <c r="E101" s="96">
        <v>8.0</v>
      </c>
      <c r="F101" s="80" t="s">
        <v>15</v>
      </c>
      <c r="G101" s="80">
        <v>4.0</v>
      </c>
      <c r="H101" s="96" t="s">
        <v>164</v>
      </c>
      <c r="I101" s="96">
        <v>8.0</v>
      </c>
      <c r="J101" s="96" t="s">
        <v>51</v>
      </c>
      <c r="K101" s="96">
        <v>8.0</v>
      </c>
      <c r="L101" s="96" t="s">
        <v>51</v>
      </c>
      <c r="M101" s="96">
        <v>8.0</v>
      </c>
      <c r="N101" s="112" t="s">
        <v>4</v>
      </c>
      <c r="O101" s="96">
        <v>0.0</v>
      </c>
      <c r="P101" s="108">
        <f t="shared" si="7"/>
        <v>44</v>
      </c>
      <c r="Q101" s="61"/>
    </row>
    <row r="102" ht="14.25" customHeight="1">
      <c r="A102" s="113" t="s">
        <v>76</v>
      </c>
      <c r="B102" s="97" t="s">
        <v>51</v>
      </c>
      <c r="C102" s="96">
        <v>8.0</v>
      </c>
      <c r="D102" s="96" t="s">
        <v>51</v>
      </c>
      <c r="E102" s="96">
        <v>8.0</v>
      </c>
      <c r="F102" s="112" t="s">
        <v>4</v>
      </c>
      <c r="G102" s="96">
        <v>0.0</v>
      </c>
      <c r="H102" s="96" t="s">
        <v>164</v>
      </c>
      <c r="I102" s="96">
        <v>8.0</v>
      </c>
      <c r="J102" s="96" t="s">
        <v>51</v>
      </c>
      <c r="K102" s="96">
        <v>8.0</v>
      </c>
      <c r="L102" s="96" t="s">
        <v>51</v>
      </c>
      <c r="M102" s="96">
        <v>8.0</v>
      </c>
      <c r="N102" s="96" t="s">
        <v>51</v>
      </c>
      <c r="O102" s="96">
        <v>8.0</v>
      </c>
      <c r="P102" s="108">
        <f t="shared" si="7"/>
        <v>48</v>
      </c>
      <c r="Q102" s="61"/>
    </row>
    <row r="103" ht="14.25" customHeight="1">
      <c r="A103" s="106" t="s">
        <v>74</v>
      </c>
      <c r="B103" s="96" t="s">
        <v>17</v>
      </c>
      <c r="C103" s="96">
        <v>8.0</v>
      </c>
      <c r="D103" s="96" t="s">
        <v>17</v>
      </c>
      <c r="E103" s="96">
        <v>8.0</v>
      </c>
      <c r="F103" s="80" t="s">
        <v>15</v>
      </c>
      <c r="G103" s="80">
        <v>4.0</v>
      </c>
      <c r="H103" s="96" t="s">
        <v>164</v>
      </c>
      <c r="I103" s="96">
        <v>8.0</v>
      </c>
      <c r="J103" s="96" t="s">
        <v>17</v>
      </c>
      <c r="K103" s="96">
        <v>8.0</v>
      </c>
      <c r="L103" s="96" t="s">
        <v>17</v>
      </c>
      <c r="M103" s="96">
        <v>8.0</v>
      </c>
      <c r="N103" s="112" t="s">
        <v>4</v>
      </c>
      <c r="O103" s="96">
        <v>0.0</v>
      </c>
      <c r="P103" s="108">
        <f t="shared" si="7"/>
        <v>44</v>
      </c>
      <c r="Q103" s="61"/>
    </row>
    <row r="104" ht="14.25" customHeight="1">
      <c r="A104" s="106" t="s">
        <v>84</v>
      </c>
      <c r="B104" s="97" t="s">
        <v>51</v>
      </c>
      <c r="C104" s="96">
        <v>8.0</v>
      </c>
      <c r="D104" s="96" t="s">
        <v>51</v>
      </c>
      <c r="E104" s="96">
        <v>8.0</v>
      </c>
      <c r="F104" s="80" t="s">
        <v>15</v>
      </c>
      <c r="G104" s="80">
        <v>4.0</v>
      </c>
      <c r="H104" s="96" t="s">
        <v>164</v>
      </c>
      <c r="I104" s="96">
        <v>8.0</v>
      </c>
      <c r="J104" s="96" t="s">
        <v>51</v>
      </c>
      <c r="K104" s="96">
        <v>8.0</v>
      </c>
      <c r="L104" s="96" t="s">
        <v>51</v>
      </c>
      <c r="M104" s="96">
        <v>8.0</v>
      </c>
      <c r="N104" s="96" t="s">
        <v>51</v>
      </c>
      <c r="O104" s="96">
        <v>8.0</v>
      </c>
      <c r="P104" s="108">
        <f t="shared" si="7"/>
        <v>52</v>
      </c>
      <c r="Q104" s="77" t="s">
        <v>205</v>
      </c>
    </row>
    <row r="105" ht="14.25" customHeight="1">
      <c r="A105" s="106" t="s">
        <v>98</v>
      </c>
      <c r="B105" s="97" t="s">
        <v>51</v>
      </c>
      <c r="C105" s="96">
        <v>8.0</v>
      </c>
      <c r="D105" s="96" t="s">
        <v>51</v>
      </c>
      <c r="E105" s="96">
        <v>8.0</v>
      </c>
      <c r="F105" s="112" t="s">
        <v>4</v>
      </c>
      <c r="G105" s="96">
        <v>0.0</v>
      </c>
      <c r="H105" s="96" t="s">
        <v>164</v>
      </c>
      <c r="I105" s="96">
        <v>0.0</v>
      </c>
      <c r="J105" s="96" t="s">
        <v>51</v>
      </c>
      <c r="K105" s="96">
        <v>8.0</v>
      </c>
      <c r="L105" s="96" t="s">
        <v>51</v>
      </c>
      <c r="M105" s="96">
        <v>8.0</v>
      </c>
      <c r="N105" s="96" t="s">
        <v>51</v>
      </c>
      <c r="O105" s="96">
        <v>8.0</v>
      </c>
      <c r="P105" s="108">
        <f t="shared" si="7"/>
        <v>40</v>
      </c>
    </row>
    <row r="106" ht="22.5" customHeight="1">
      <c r="A106" s="106" t="s">
        <v>80</v>
      </c>
      <c r="B106" s="97" t="s">
        <v>36</v>
      </c>
      <c r="C106" s="96">
        <v>8.0</v>
      </c>
      <c r="D106" s="96" t="s">
        <v>36</v>
      </c>
      <c r="E106" s="96">
        <v>8.0</v>
      </c>
      <c r="F106" s="80" t="s">
        <v>15</v>
      </c>
      <c r="G106" s="80">
        <v>4.0</v>
      </c>
      <c r="H106" s="96" t="s">
        <v>164</v>
      </c>
      <c r="I106" s="96">
        <v>8.0</v>
      </c>
      <c r="J106" s="96" t="s">
        <v>36</v>
      </c>
      <c r="K106" s="96">
        <v>8.0</v>
      </c>
      <c r="L106" s="96" t="s">
        <v>36</v>
      </c>
      <c r="M106" s="96">
        <v>8.0</v>
      </c>
      <c r="N106" s="112" t="s">
        <v>4</v>
      </c>
      <c r="O106" s="96">
        <v>0.0</v>
      </c>
      <c r="P106" s="108">
        <f t="shared" si="7"/>
        <v>44</v>
      </c>
      <c r="Q106" s="61"/>
    </row>
    <row r="107" ht="14.25" customHeight="1">
      <c r="A107" s="109" t="s">
        <v>78</v>
      </c>
      <c r="B107" s="110" t="s">
        <v>51</v>
      </c>
      <c r="C107" s="111">
        <v>8.0</v>
      </c>
      <c r="D107" s="111" t="s">
        <v>51</v>
      </c>
      <c r="E107" s="111">
        <v>8.0</v>
      </c>
      <c r="F107" s="111" t="s">
        <v>4</v>
      </c>
      <c r="G107" s="111">
        <v>0.0</v>
      </c>
      <c r="H107" s="111" t="s">
        <v>4</v>
      </c>
      <c r="I107" s="111">
        <v>0.0</v>
      </c>
      <c r="J107" s="111" t="s">
        <v>51</v>
      </c>
      <c r="K107" s="111">
        <v>8.0</v>
      </c>
      <c r="L107" s="111" t="s">
        <v>51</v>
      </c>
      <c r="M107" s="111">
        <v>8.0</v>
      </c>
      <c r="N107" s="111" t="s">
        <v>51</v>
      </c>
      <c r="O107" s="111">
        <v>8.0</v>
      </c>
      <c r="P107" s="114">
        <f t="shared" si="7"/>
        <v>40</v>
      </c>
      <c r="Q107" s="77" t="s">
        <v>206</v>
      </c>
    </row>
    <row r="108" ht="14.25" customHeight="1">
      <c r="A108" s="106" t="s">
        <v>94</v>
      </c>
      <c r="B108" s="97" t="s">
        <v>36</v>
      </c>
      <c r="C108" s="96">
        <v>8.0</v>
      </c>
      <c r="D108" s="96" t="s">
        <v>194</v>
      </c>
      <c r="E108" s="96">
        <v>4.0</v>
      </c>
      <c r="F108" s="112" t="s">
        <v>4</v>
      </c>
      <c r="G108" s="96">
        <v>0.0</v>
      </c>
      <c r="H108" s="96" t="s">
        <v>164</v>
      </c>
      <c r="I108" s="96">
        <v>0.0</v>
      </c>
      <c r="J108" s="96" t="s">
        <v>36</v>
      </c>
      <c r="K108" s="96">
        <v>8.0</v>
      </c>
      <c r="L108" s="96" t="s">
        <v>36</v>
      </c>
      <c r="M108" s="96">
        <v>8.0</v>
      </c>
      <c r="N108" s="96" t="s">
        <v>36</v>
      </c>
      <c r="O108" s="96">
        <v>8.0</v>
      </c>
      <c r="P108" s="108">
        <f t="shared" si="7"/>
        <v>36</v>
      </c>
      <c r="Q108" s="61"/>
    </row>
    <row r="109" ht="14.25" customHeight="1">
      <c r="A109" s="113" t="s">
        <v>86</v>
      </c>
      <c r="B109" s="96" t="s">
        <v>17</v>
      </c>
      <c r="C109" s="96">
        <v>8.0</v>
      </c>
      <c r="D109" s="96" t="s">
        <v>17</v>
      </c>
      <c r="E109" s="96">
        <v>8.0</v>
      </c>
      <c r="F109" s="112" t="s">
        <v>4</v>
      </c>
      <c r="G109" s="96">
        <v>0.0</v>
      </c>
      <c r="H109" s="96" t="s">
        <v>164</v>
      </c>
      <c r="I109" s="96">
        <v>8.0</v>
      </c>
      <c r="J109" s="96" t="s">
        <v>17</v>
      </c>
      <c r="K109" s="96">
        <v>8.0</v>
      </c>
      <c r="L109" s="96" t="s">
        <v>17</v>
      </c>
      <c r="M109" s="96">
        <v>8.0</v>
      </c>
      <c r="N109" s="96" t="s">
        <v>51</v>
      </c>
      <c r="O109" s="96">
        <v>8.0</v>
      </c>
      <c r="P109" s="108">
        <f t="shared" si="7"/>
        <v>48</v>
      </c>
      <c r="Q109" s="61"/>
    </row>
    <row r="110" ht="14.25" customHeight="1"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99" t="s">
        <v>183</v>
      </c>
      <c r="O110" s="102"/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P21:P35">
    <cfRule type="cellIs" dxfId="0" priority="1" operator="notEqual">
      <formula>40</formula>
    </cfRule>
  </conditionalFormatting>
  <conditionalFormatting sqref="P3">
    <cfRule type="cellIs" dxfId="0" priority="2" operator="notEqual">
      <formula>40</formula>
    </cfRule>
  </conditionalFormatting>
  <conditionalFormatting sqref="P4">
    <cfRule type="cellIs" dxfId="0" priority="3" operator="notEqual">
      <formula>40</formula>
    </cfRule>
  </conditionalFormatting>
  <conditionalFormatting sqref="P5">
    <cfRule type="cellIs" dxfId="0" priority="4" operator="notEqual">
      <formula>40</formula>
    </cfRule>
  </conditionalFormatting>
  <conditionalFormatting sqref="P6">
    <cfRule type="cellIs" dxfId="0" priority="5" operator="notEqual">
      <formula>40</formula>
    </cfRule>
  </conditionalFormatting>
  <conditionalFormatting sqref="P7">
    <cfRule type="cellIs" dxfId="0" priority="6" operator="notEqual">
      <formula>40</formula>
    </cfRule>
  </conditionalFormatting>
  <conditionalFormatting sqref="P8">
    <cfRule type="cellIs" dxfId="0" priority="7" operator="notEqual">
      <formula>40</formula>
    </cfRule>
  </conditionalFormatting>
  <conditionalFormatting sqref="P9">
    <cfRule type="cellIs" dxfId="0" priority="8" operator="notEqual">
      <formula>40</formula>
    </cfRule>
  </conditionalFormatting>
  <conditionalFormatting sqref="P10">
    <cfRule type="cellIs" dxfId="0" priority="9" operator="notEqual">
      <formula>40</formula>
    </cfRule>
  </conditionalFormatting>
  <conditionalFormatting sqref="P11">
    <cfRule type="cellIs" dxfId="0" priority="10" operator="notEqual">
      <formula>40</formula>
    </cfRule>
  </conditionalFormatting>
  <conditionalFormatting sqref="P12">
    <cfRule type="cellIs" dxfId="0" priority="11" operator="notEqual">
      <formula>40</formula>
    </cfRule>
  </conditionalFormatting>
  <conditionalFormatting sqref="P13">
    <cfRule type="cellIs" dxfId="0" priority="12" operator="notEqual">
      <formula>40</formula>
    </cfRule>
  </conditionalFormatting>
  <conditionalFormatting sqref="P14">
    <cfRule type="cellIs" dxfId="0" priority="13" operator="notEqual">
      <formula>40</formula>
    </cfRule>
  </conditionalFormatting>
  <conditionalFormatting sqref="P15">
    <cfRule type="cellIs" dxfId="0" priority="14" operator="notEqual">
      <formula>40</formula>
    </cfRule>
  </conditionalFormatting>
  <conditionalFormatting sqref="P16">
    <cfRule type="cellIs" dxfId="0" priority="15" operator="notEqual">
      <formula>40</formula>
    </cfRule>
  </conditionalFormatting>
  <conditionalFormatting sqref="P17">
    <cfRule type="cellIs" dxfId="0" priority="16" operator="notEqual">
      <formula>40</formula>
    </cfRule>
  </conditionalFormatting>
  <conditionalFormatting sqref="P40:P54">
    <cfRule type="cellIs" dxfId="0" priority="17" operator="notEqual">
      <formula>40</formula>
    </cfRule>
  </conditionalFormatting>
  <conditionalFormatting sqref="S40:S54">
    <cfRule type="cellIs" dxfId="1" priority="18" operator="notEqual">
      <formula>120</formula>
    </cfRule>
  </conditionalFormatting>
  <conditionalFormatting sqref="P58:P72">
    <cfRule type="cellIs" dxfId="0" priority="19" operator="notEqual">
      <formula>40</formula>
    </cfRule>
  </conditionalFormatting>
  <conditionalFormatting sqref="P76:P90">
    <cfRule type="cellIs" dxfId="0" priority="20" operator="notEqual">
      <formula>40</formula>
    </cfRule>
  </conditionalFormatting>
  <conditionalFormatting sqref="P95:P109">
    <cfRule type="cellIs" dxfId="0" priority="21" operator="notEqual">
      <formula>40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4.86"/>
    <col customWidth="1" min="3" max="3" width="2.14"/>
    <col customWidth="1" min="4" max="4" width="24.86"/>
    <col customWidth="1" min="5" max="5" width="2.14"/>
    <col customWidth="1" min="6" max="6" width="24.86"/>
    <col customWidth="1" min="7" max="7" width="2.14"/>
    <col customWidth="1" min="8" max="8" width="24.86"/>
    <col customWidth="1" min="9" max="9" width="2.14"/>
    <col customWidth="1" min="10" max="10" width="24.86"/>
    <col customWidth="1" min="11" max="11" width="2.14"/>
    <col customWidth="1" min="12" max="12" width="24.86"/>
    <col customWidth="1" min="13" max="13" width="2.14"/>
    <col customWidth="1" min="14" max="14" width="24.86"/>
    <col customWidth="1" min="15" max="15" width="2.14"/>
    <col customWidth="1" min="17" max="17" width="43.14"/>
  </cols>
  <sheetData>
    <row r="1">
      <c r="A1" s="115" t="s">
        <v>207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>
      <c r="A2" s="116" t="s">
        <v>65</v>
      </c>
      <c r="B2" s="117" t="s">
        <v>197</v>
      </c>
      <c r="C2" s="118"/>
      <c r="D2" s="117" t="s">
        <v>198</v>
      </c>
      <c r="E2" s="118"/>
      <c r="F2" s="117" t="s">
        <v>199</v>
      </c>
      <c r="G2" s="118"/>
      <c r="H2" s="117" t="s">
        <v>208</v>
      </c>
      <c r="I2" s="118"/>
      <c r="J2" s="117" t="s">
        <v>209</v>
      </c>
      <c r="K2" s="118"/>
      <c r="L2" s="117" t="s">
        <v>210</v>
      </c>
      <c r="M2" s="118"/>
      <c r="N2" s="117" t="s">
        <v>211</v>
      </c>
      <c r="O2" s="118"/>
      <c r="P2" s="117" t="s">
        <v>107</v>
      </c>
      <c r="Q2" s="119" t="s">
        <v>212</v>
      </c>
    </row>
    <row r="3">
      <c r="A3" s="120" t="s">
        <v>82</v>
      </c>
      <c r="B3" s="107" t="s">
        <v>51</v>
      </c>
      <c r="C3" s="107">
        <v>8.0</v>
      </c>
      <c r="D3" s="96" t="s">
        <v>51</v>
      </c>
      <c r="E3" s="96">
        <v>8.0</v>
      </c>
      <c r="F3" s="80" t="s">
        <v>15</v>
      </c>
      <c r="G3" s="80">
        <v>4.0</v>
      </c>
      <c r="H3" s="121" t="s">
        <v>164</v>
      </c>
      <c r="I3" s="96">
        <v>8.0</v>
      </c>
      <c r="J3" s="96" t="s">
        <v>51</v>
      </c>
      <c r="K3" s="96">
        <v>8.0</v>
      </c>
      <c r="L3" s="96" t="s">
        <v>51</v>
      </c>
      <c r="M3" s="96">
        <v>8.0</v>
      </c>
      <c r="N3" s="96" t="s">
        <v>51</v>
      </c>
      <c r="O3" s="96">
        <v>8.0</v>
      </c>
      <c r="P3" s="122">
        <f t="shared" ref="P3:P17" si="1">C3+E3+G3+I3+K3+M3+O3</f>
        <v>52</v>
      </c>
      <c r="Q3" s="77" t="s">
        <v>204</v>
      </c>
    </row>
    <row r="4">
      <c r="A4" s="123" t="s">
        <v>90</v>
      </c>
      <c r="B4" s="110" t="s">
        <v>194</v>
      </c>
      <c r="C4" s="111">
        <v>4.0</v>
      </c>
      <c r="D4" s="111" t="s">
        <v>51</v>
      </c>
      <c r="E4" s="111">
        <v>8.0</v>
      </c>
      <c r="F4" s="111" t="s">
        <v>4</v>
      </c>
      <c r="G4" s="111">
        <v>0.0</v>
      </c>
      <c r="H4" s="111" t="s">
        <v>164</v>
      </c>
      <c r="I4" s="111">
        <v>8.0</v>
      </c>
      <c r="J4" s="111" t="s">
        <v>51</v>
      </c>
      <c r="K4" s="111">
        <v>8.0</v>
      </c>
      <c r="L4" s="111" t="s">
        <v>51</v>
      </c>
      <c r="M4" s="111">
        <v>8.0</v>
      </c>
      <c r="N4" s="83" t="s">
        <v>17</v>
      </c>
      <c r="O4" s="83">
        <v>8.0</v>
      </c>
      <c r="P4" s="122">
        <f t="shared" si="1"/>
        <v>44</v>
      </c>
      <c r="Q4" s="61"/>
    </row>
    <row r="5">
      <c r="A5" s="123" t="s">
        <v>88</v>
      </c>
      <c r="B5" s="97" t="s">
        <v>36</v>
      </c>
      <c r="C5" s="96">
        <v>8.0</v>
      </c>
      <c r="D5" s="96" t="s">
        <v>194</v>
      </c>
      <c r="E5" s="96">
        <v>4.0</v>
      </c>
      <c r="F5" s="112" t="s">
        <v>4</v>
      </c>
      <c r="G5" s="96">
        <v>0.0</v>
      </c>
      <c r="H5" s="121" t="s">
        <v>164</v>
      </c>
      <c r="I5" s="96">
        <v>8.0</v>
      </c>
      <c r="J5" s="96" t="s">
        <v>36</v>
      </c>
      <c r="K5" s="96">
        <v>8.0</v>
      </c>
      <c r="L5" s="96" t="s">
        <v>36</v>
      </c>
      <c r="M5" s="96">
        <v>8.0</v>
      </c>
      <c r="N5" s="80" t="s">
        <v>36</v>
      </c>
      <c r="O5" s="80">
        <v>8.0</v>
      </c>
      <c r="P5" s="122">
        <f t="shared" si="1"/>
        <v>44</v>
      </c>
      <c r="Q5" s="61"/>
    </row>
    <row r="6">
      <c r="A6" s="120" t="s">
        <v>70</v>
      </c>
      <c r="B6" s="96" t="s">
        <v>51</v>
      </c>
      <c r="C6" s="96">
        <v>8.0</v>
      </c>
      <c r="D6" s="96" t="s">
        <v>51</v>
      </c>
      <c r="E6" s="96">
        <v>8.0</v>
      </c>
      <c r="F6" s="112" t="s">
        <v>4</v>
      </c>
      <c r="G6" s="96">
        <v>0.0</v>
      </c>
      <c r="H6" s="121" t="s">
        <v>164</v>
      </c>
      <c r="I6" s="96">
        <v>8.0</v>
      </c>
      <c r="J6" s="96" t="s">
        <v>51</v>
      </c>
      <c r="K6" s="96">
        <v>8.0</v>
      </c>
      <c r="L6" s="96" t="s">
        <v>51</v>
      </c>
      <c r="M6" s="96">
        <v>8.0</v>
      </c>
      <c r="N6" s="112" t="s">
        <v>4</v>
      </c>
      <c r="O6" s="96">
        <v>0.0</v>
      </c>
      <c r="P6" s="122">
        <f t="shared" si="1"/>
        <v>40</v>
      </c>
      <c r="Q6" s="61"/>
    </row>
    <row r="7">
      <c r="A7" s="120" t="s">
        <v>72</v>
      </c>
      <c r="B7" s="96" t="s">
        <v>51</v>
      </c>
      <c r="C7" s="96">
        <v>8.0</v>
      </c>
      <c r="D7" s="96" t="s">
        <v>51</v>
      </c>
      <c r="E7" s="96">
        <v>8.0</v>
      </c>
      <c r="F7" s="80" t="s">
        <v>15</v>
      </c>
      <c r="G7" s="80">
        <v>4.0</v>
      </c>
      <c r="H7" s="121" t="s">
        <v>164</v>
      </c>
      <c r="I7" s="96">
        <v>8.0</v>
      </c>
      <c r="J7" s="96" t="s">
        <v>51</v>
      </c>
      <c r="K7" s="96">
        <v>8.0</v>
      </c>
      <c r="L7" s="96" t="s">
        <v>51</v>
      </c>
      <c r="M7" s="96">
        <v>8.0</v>
      </c>
      <c r="N7" s="112" t="s">
        <v>4</v>
      </c>
      <c r="O7" s="96">
        <v>0.0</v>
      </c>
      <c r="P7" s="122">
        <f t="shared" si="1"/>
        <v>44</v>
      </c>
      <c r="Q7" s="61"/>
    </row>
    <row r="8">
      <c r="A8" s="120" t="s">
        <v>96</v>
      </c>
      <c r="B8" s="96" t="s">
        <v>51</v>
      </c>
      <c r="C8" s="96">
        <v>8.0</v>
      </c>
      <c r="D8" s="96" t="s">
        <v>51</v>
      </c>
      <c r="E8" s="96">
        <v>8.0</v>
      </c>
      <c r="F8" s="80" t="s">
        <v>15</v>
      </c>
      <c r="G8" s="80">
        <v>4.0</v>
      </c>
      <c r="H8" s="121" t="s">
        <v>164</v>
      </c>
      <c r="I8" s="96">
        <v>0.0</v>
      </c>
      <c r="J8" s="96" t="s">
        <v>51</v>
      </c>
      <c r="K8" s="96">
        <v>8.0</v>
      </c>
      <c r="L8" s="96" t="s">
        <v>51</v>
      </c>
      <c r="M8" s="96">
        <v>8.0</v>
      </c>
      <c r="N8" s="96" t="s">
        <v>51</v>
      </c>
      <c r="O8" s="96">
        <v>8.0</v>
      </c>
      <c r="P8" s="122">
        <f t="shared" si="1"/>
        <v>44</v>
      </c>
      <c r="Q8" s="61"/>
    </row>
    <row r="9">
      <c r="A9" s="120" t="s">
        <v>92</v>
      </c>
      <c r="B9" s="97" t="s">
        <v>51</v>
      </c>
      <c r="C9" s="96">
        <v>8.0</v>
      </c>
      <c r="D9" s="96" t="s">
        <v>194</v>
      </c>
      <c r="E9" s="96">
        <v>4.0</v>
      </c>
      <c r="F9" s="80" t="s">
        <v>15</v>
      </c>
      <c r="G9" s="80">
        <v>4.0</v>
      </c>
      <c r="H9" s="121" t="s">
        <v>164</v>
      </c>
      <c r="I9" s="96">
        <v>8.0</v>
      </c>
      <c r="J9" s="96" t="s">
        <v>51</v>
      </c>
      <c r="K9" s="96">
        <v>8.0</v>
      </c>
      <c r="L9" s="96" t="s">
        <v>51</v>
      </c>
      <c r="M9" s="96">
        <v>8.0</v>
      </c>
      <c r="N9" s="96" t="s">
        <v>51</v>
      </c>
      <c r="O9" s="96">
        <v>8.0</v>
      </c>
      <c r="P9" s="122">
        <f t="shared" si="1"/>
        <v>48</v>
      </c>
      <c r="Q9" s="77" t="s">
        <v>204</v>
      </c>
    </row>
    <row r="10">
      <c r="A10" s="124" t="s">
        <v>76</v>
      </c>
      <c r="B10" s="97" t="s">
        <v>51</v>
      </c>
      <c r="C10" s="96">
        <v>8.0</v>
      </c>
      <c r="D10" s="96" t="s">
        <v>194</v>
      </c>
      <c r="E10" s="96">
        <v>4.0</v>
      </c>
      <c r="F10" s="112" t="s">
        <v>4</v>
      </c>
      <c r="G10" s="96">
        <v>0.0</v>
      </c>
      <c r="H10" s="121" t="s">
        <v>164</v>
      </c>
      <c r="I10" s="96">
        <v>8.0</v>
      </c>
      <c r="J10" s="96" t="s">
        <v>51</v>
      </c>
      <c r="K10" s="96">
        <v>8.0</v>
      </c>
      <c r="L10" s="96" t="s">
        <v>51</v>
      </c>
      <c r="M10" s="96">
        <v>8.0</v>
      </c>
      <c r="N10" s="96" t="s">
        <v>51</v>
      </c>
      <c r="O10" s="96">
        <v>8.0</v>
      </c>
      <c r="P10" s="122">
        <f t="shared" si="1"/>
        <v>44</v>
      </c>
      <c r="Q10" s="61"/>
    </row>
    <row r="11">
      <c r="A11" s="120" t="s">
        <v>74</v>
      </c>
      <c r="B11" s="96" t="s">
        <v>17</v>
      </c>
      <c r="C11" s="96">
        <v>8.0</v>
      </c>
      <c r="D11" s="96" t="s">
        <v>17</v>
      </c>
      <c r="E11" s="96">
        <v>8.0</v>
      </c>
      <c r="F11" s="80" t="s">
        <v>15</v>
      </c>
      <c r="G11" s="80">
        <v>4.0</v>
      </c>
      <c r="H11" s="121" t="s">
        <v>164</v>
      </c>
      <c r="I11" s="96">
        <v>8.0</v>
      </c>
      <c r="J11" s="96" t="s">
        <v>17</v>
      </c>
      <c r="K11" s="96">
        <v>8.0</v>
      </c>
      <c r="L11" s="96" t="s">
        <v>17</v>
      </c>
      <c r="M11" s="96">
        <v>8.0</v>
      </c>
      <c r="N11" s="112" t="s">
        <v>4</v>
      </c>
      <c r="O11" s="96">
        <v>0.0</v>
      </c>
      <c r="P11" s="122">
        <f t="shared" si="1"/>
        <v>44</v>
      </c>
      <c r="Q11" s="61"/>
    </row>
    <row r="12">
      <c r="A12" s="120" t="s">
        <v>84</v>
      </c>
      <c r="B12" s="97" t="s">
        <v>51</v>
      </c>
      <c r="C12" s="96">
        <v>8.0</v>
      </c>
      <c r="D12" s="96" t="s">
        <v>51</v>
      </c>
      <c r="E12" s="96">
        <v>8.0</v>
      </c>
      <c r="F12" s="80" t="s">
        <v>15</v>
      </c>
      <c r="G12" s="80">
        <v>4.0</v>
      </c>
      <c r="H12" s="121" t="s">
        <v>164</v>
      </c>
      <c r="I12" s="96">
        <v>8.0</v>
      </c>
      <c r="J12" s="96" t="s">
        <v>51</v>
      </c>
      <c r="K12" s="96">
        <v>8.0</v>
      </c>
      <c r="L12" s="96" t="s">
        <v>51</v>
      </c>
      <c r="M12" s="96">
        <v>8.0</v>
      </c>
      <c r="N12" s="96" t="s">
        <v>51</v>
      </c>
      <c r="O12" s="96">
        <v>8.0</v>
      </c>
      <c r="P12" s="122">
        <f t="shared" si="1"/>
        <v>52</v>
      </c>
      <c r="Q12" s="77" t="s">
        <v>213</v>
      </c>
    </row>
    <row r="13">
      <c r="A13" s="120" t="s">
        <v>98</v>
      </c>
      <c r="B13" s="97" t="s">
        <v>51</v>
      </c>
      <c r="C13" s="96">
        <v>8.0</v>
      </c>
      <c r="D13" s="96" t="s">
        <v>51</v>
      </c>
      <c r="E13" s="96">
        <v>8.0</v>
      </c>
      <c r="F13" s="112" t="s">
        <v>4</v>
      </c>
      <c r="G13" s="96">
        <v>0.0</v>
      </c>
      <c r="H13" s="121" t="s">
        <v>164</v>
      </c>
      <c r="I13" s="96">
        <v>0.0</v>
      </c>
      <c r="J13" s="96" t="s">
        <v>51</v>
      </c>
      <c r="K13" s="96">
        <v>8.0</v>
      </c>
      <c r="L13" s="96" t="s">
        <v>51</v>
      </c>
      <c r="M13" s="96">
        <v>8.0</v>
      </c>
      <c r="N13" s="96" t="s">
        <v>51</v>
      </c>
      <c r="O13" s="96">
        <v>8.0</v>
      </c>
      <c r="P13" s="122">
        <f t="shared" si="1"/>
        <v>40</v>
      </c>
      <c r="Q13" s="61"/>
    </row>
    <row r="14">
      <c r="A14" s="120" t="s">
        <v>80</v>
      </c>
      <c r="B14" s="97" t="s">
        <v>36</v>
      </c>
      <c r="C14" s="96">
        <v>8.0</v>
      </c>
      <c r="D14" s="96" t="s">
        <v>64</v>
      </c>
      <c r="E14" s="96">
        <v>8.0</v>
      </c>
      <c r="F14" s="80" t="s">
        <v>15</v>
      </c>
      <c r="G14" s="80">
        <v>4.0</v>
      </c>
      <c r="H14" s="121" t="s">
        <v>164</v>
      </c>
      <c r="I14" s="96">
        <v>8.0</v>
      </c>
      <c r="J14" s="96" t="s">
        <v>11</v>
      </c>
      <c r="K14" s="96">
        <v>8.0</v>
      </c>
      <c r="L14" s="96" t="s">
        <v>11</v>
      </c>
      <c r="M14" s="96">
        <v>8.0</v>
      </c>
      <c r="N14" s="112" t="s">
        <v>4</v>
      </c>
      <c r="O14" s="96">
        <v>0.0</v>
      </c>
      <c r="P14" s="122">
        <f t="shared" si="1"/>
        <v>44</v>
      </c>
      <c r="Q14" s="61"/>
    </row>
    <row r="15">
      <c r="A15" s="123" t="s">
        <v>78</v>
      </c>
      <c r="B15" s="110" t="s">
        <v>51</v>
      </c>
      <c r="C15" s="111">
        <v>8.0</v>
      </c>
      <c r="D15" s="111" t="s">
        <v>51</v>
      </c>
      <c r="E15" s="111">
        <v>8.0</v>
      </c>
      <c r="F15" s="111" t="s">
        <v>4</v>
      </c>
      <c r="G15" s="111">
        <v>0.0</v>
      </c>
      <c r="H15" s="111" t="s">
        <v>164</v>
      </c>
      <c r="I15" s="111">
        <v>0.0</v>
      </c>
      <c r="J15" s="111" t="s">
        <v>51</v>
      </c>
      <c r="K15" s="111">
        <v>8.0</v>
      </c>
      <c r="L15" s="111" t="s">
        <v>51</v>
      </c>
      <c r="M15" s="111">
        <v>8.0</v>
      </c>
      <c r="N15" s="111" t="s">
        <v>51</v>
      </c>
      <c r="O15" s="111">
        <v>8.0</v>
      </c>
      <c r="P15" s="122">
        <f t="shared" si="1"/>
        <v>40</v>
      </c>
      <c r="Q15" s="61"/>
    </row>
    <row r="16">
      <c r="A16" s="120" t="s">
        <v>94</v>
      </c>
      <c r="B16" s="97" t="s">
        <v>36</v>
      </c>
      <c r="C16" s="96">
        <v>8.0</v>
      </c>
      <c r="D16" s="96" t="s">
        <v>194</v>
      </c>
      <c r="E16" s="96">
        <v>4.0</v>
      </c>
      <c r="F16" s="112" t="s">
        <v>4</v>
      </c>
      <c r="G16" s="96">
        <v>0.0</v>
      </c>
      <c r="H16" s="121" t="s">
        <v>164</v>
      </c>
      <c r="I16" s="96">
        <v>0.0</v>
      </c>
      <c r="J16" s="96" t="s">
        <v>36</v>
      </c>
      <c r="K16" s="96">
        <v>8.0</v>
      </c>
      <c r="L16" s="96" t="s">
        <v>36</v>
      </c>
      <c r="M16" s="96">
        <v>8.0</v>
      </c>
      <c r="N16" s="96" t="s">
        <v>36</v>
      </c>
      <c r="O16" s="96">
        <v>8.0</v>
      </c>
      <c r="P16" s="122">
        <f t="shared" si="1"/>
        <v>36</v>
      </c>
      <c r="Q16" s="61"/>
    </row>
    <row r="17">
      <c r="A17" s="124" t="s">
        <v>86</v>
      </c>
      <c r="B17" s="96" t="s">
        <v>17</v>
      </c>
      <c r="C17" s="96">
        <v>8.0</v>
      </c>
      <c r="D17" s="96" t="s">
        <v>194</v>
      </c>
      <c r="E17" s="96">
        <v>4.0</v>
      </c>
      <c r="F17" s="112" t="s">
        <v>4</v>
      </c>
      <c r="G17" s="96">
        <v>0.0</v>
      </c>
      <c r="H17" s="121" t="s">
        <v>164</v>
      </c>
      <c r="I17" s="96">
        <v>8.0</v>
      </c>
      <c r="J17" s="96" t="s">
        <v>17</v>
      </c>
      <c r="K17" s="96">
        <v>8.0</v>
      </c>
      <c r="L17" s="96" t="s">
        <v>17</v>
      </c>
      <c r="M17" s="96">
        <v>8.0</v>
      </c>
      <c r="N17" s="96" t="s">
        <v>51</v>
      </c>
      <c r="O17" s="96">
        <v>8.0</v>
      </c>
      <c r="P17" s="122">
        <f t="shared" si="1"/>
        <v>44</v>
      </c>
      <c r="Q17" s="61"/>
    </row>
    <row r="19">
      <c r="A19" s="115" t="s">
        <v>214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</row>
    <row r="20">
      <c r="A20" s="116" t="s">
        <v>65</v>
      </c>
      <c r="B20" s="117" t="s">
        <v>215</v>
      </c>
      <c r="C20" s="118"/>
      <c r="D20" s="117" t="s">
        <v>216</v>
      </c>
      <c r="E20" s="118"/>
      <c r="F20" s="117" t="s">
        <v>217</v>
      </c>
      <c r="G20" s="118"/>
      <c r="H20" s="117" t="s">
        <v>218</v>
      </c>
      <c r="I20" s="118"/>
      <c r="J20" s="117" t="s">
        <v>219</v>
      </c>
      <c r="K20" s="118"/>
      <c r="L20" s="117" t="s">
        <v>220</v>
      </c>
      <c r="M20" s="118"/>
      <c r="N20" s="117" t="s">
        <v>221</v>
      </c>
      <c r="O20" s="118"/>
      <c r="P20" s="117" t="s">
        <v>107</v>
      </c>
      <c r="Q20" s="119" t="s">
        <v>212</v>
      </c>
    </row>
    <row r="21">
      <c r="A21" s="120" t="s">
        <v>82</v>
      </c>
      <c r="B21" s="96" t="s">
        <v>51</v>
      </c>
      <c r="C21" s="96">
        <v>8.0</v>
      </c>
      <c r="D21" s="121" t="s">
        <v>164</v>
      </c>
      <c r="E21" s="125">
        <v>8.0</v>
      </c>
      <c r="F21" s="126" t="s">
        <v>4</v>
      </c>
      <c r="G21" s="125">
        <v>0.0</v>
      </c>
      <c r="H21" s="112" t="s">
        <v>4</v>
      </c>
      <c r="I21" s="80">
        <v>0.0</v>
      </c>
      <c r="J21" s="96" t="s">
        <v>51</v>
      </c>
      <c r="K21" s="96">
        <v>8.0</v>
      </c>
      <c r="L21" s="96" t="s">
        <v>51</v>
      </c>
      <c r="M21" s="96">
        <v>8.0</v>
      </c>
      <c r="N21" s="96" t="s">
        <v>51</v>
      </c>
      <c r="O21" s="96">
        <v>8.0</v>
      </c>
      <c r="P21" s="122">
        <f t="shared" ref="P21:P35" si="2">C21+E21+G21+I21+K21+M21+O21</f>
        <v>40</v>
      </c>
      <c r="Q21" s="61"/>
    </row>
    <row r="22">
      <c r="A22" s="123" t="s">
        <v>90</v>
      </c>
      <c r="B22" s="127"/>
      <c r="C22" s="128"/>
      <c r="D22" s="111" t="s">
        <v>164</v>
      </c>
      <c r="E22" s="128">
        <v>0.0</v>
      </c>
      <c r="F22" s="127"/>
      <c r="G22" s="128"/>
      <c r="H22" s="90" t="s">
        <v>51</v>
      </c>
      <c r="I22" s="125">
        <v>8.0</v>
      </c>
      <c r="J22" s="90" t="s">
        <v>51</v>
      </c>
      <c r="K22" s="125">
        <v>8.0</v>
      </c>
      <c r="L22" s="90" t="s">
        <v>51</v>
      </c>
      <c r="M22" s="125">
        <v>8.0</v>
      </c>
      <c r="N22" s="112" t="s">
        <v>4</v>
      </c>
      <c r="O22" s="80">
        <v>0.0</v>
      </c>
      <c r="P22" s="122">
        <f t="shared" si="2"/>
        <v>24</v>
      </c>
      <c r="Q22" s="77" t="s">
        <v>222</v>
      </c>
    </row>
    <row r="23">
      <c r="A23" s="123" t="s">
        <v>88</v>
      </c>
      <c r="B23" s="90" t="s">
        <v>36</v>
      </c>
      <c r="C23" s="125">
        <v>8.0</v>
      </c>
      <c r="D23" s="121" t="s">
        <v>164</v>
      </c>
      <c r="E23" s="125">
        <v>8.0</v>
      </c>
      <c r="F23" s="126" t="s">
        <v>4</v>
      </c>
      <c r="G23" s="125">
        <v>0.0</v>
      </c>
      <c r="H23" s="90" t="s">
        <v>36</v>
      </c>
      <c r="I23" s="125">
        <v>8.0</v>
      </c>
      <c r="J23" s="90" t="s">
        <v>36</v>
      </c>
      <c r="K23" s="125">
        <v>8.0</v>
      </c>
      <c r="L23" s="90" t="s">
        <v>36</v>
      </c>
      <c r="M23" s="125">
        <v>8.0</v>
      </c>
      <c r="N23" s="126" t="s">
        <v>4</v>
      </c>
      <c r="O23" s="125">
        <v>0.0</v>
      </c>
      <c r="P23" s="122">
        <f t="shared" si="2"/>
        <v>40</v>
      </c>
      <c r="Q23" s="61"/>
    </row>
    <row r="24">
      <c r="A24" s="120" t="s">
        <v>70</v>
      </c>
      <c r="B24" s="90" t="s">
        <v>51</v>
      </c>
      <c r="C24" s="125">
        <v>8.0</v>
      </c>
      <c r="D24" s="121" t="s">
        <v>164</v>
      </c>
      <c r="E24" s="125">
        <v>0.0</v>
      </c>
      <c r="F24" s="90" t="s">
        <v>51</v>
      </c>
      <c r="G24" s="125">
        <v>8.0</v>
      </c>
      <c r="H24" s="90" t="s">
        <v>51</v>
      </c>
      <c r="I24" s="125">
        <v>8.0</v>
      </c>
      <c r="J24" s="90" t="s">
        <v>51</v>
      </c>
      <c r="K24" s="125">
        <v>8.0</v>
      </c>
      <c r="L24" s="90" t="s">
        <v>51</v>
      </c>
      <c r="M24" s="125">
        <v>8.0</v>
      </c>
      <c r="N24" s="126" t="s">
        <v>4</v>
      </c>
      <c r="O24" s="125">
        <v>0.0</v>
      </c>
      <c r="P24" s="122">
        <f t="shared" si="2"/>
        <v>40</v>
      </c>
      <c r="Q24" s="61"/>
    </row>
    <row r="25">
      <c r="A25" s="120" t="s">
        <v>72</v>
      </c>
      <c r="B25" s="90" t="s">
        <v>51</v>
      </c>
      <c r="C25" s="125">
        <v>8.0</v>
      </c>
      <c r="D25" s="121" t="s">
        <v>164</v>
      </c>
      <c r="E25" s="125">
        <v>8.0</v>
      </c>
      <c r="F25" s="90" t="s">
        <v>51</v>
      </c>
      <c r="G25" s="125">
        <v>8.0</v>
      </c>
      <c r="H25" s="126" t="s">
        <v>4</v>
      </c>
      <c r="I25" s="125">
        <v>0.0</v>
      </c>
      <c r="J25" s="90" t="s">
        <v>51</v>
      </c>
      <c r="K25" s="125">
        <v>8.0</v>
      </c>
      <c r="L25" s="90" t="s">
        <v>51</v>
      </c>
      <c r="M25" s="125">
        <v>8.0</v>
      </c>
      <c r="N25" s="126" t="s">
        <v>4</v>
      </c>
      <c r="O25" s="125">
        <v>0.0</v>
      </c>
      <c r="P25" s="122">
        <f t="shared" si="2"/>
        <v>40</v>
      </c>
      <c r="Q25" s="61"/>
    </row>
    <row r="26">
      <c r="A26" s="120" t="s">
        <v>96</v>
      </c>
      <c r="B26" s="96" t="s">
        <v>51</v>
      </c>
      <c r="C26" s="96">
        <v>8.0</v>
      </c>
      <c r="D26" s="121" t="s">
        <v>164</v>
      </c>
      <c r="E26" s="125">
        <v>0.0</v>
      </c>
      <c r="F26" s="96" t="s">
        <v>51</v>
      </c>
      <c r="G26" s="96">
        <v>8.0</v>
      </c>
      <c r="H26" s="126" t="s">
        <v>4</v>
      </c>
      <c r="I26" s="125">
        <v>0.0</v>
      </c>
      <c r="J26" s="96" t="s">
        <v>51</v>
      </c>
      <c r="K26" s="96">
        <v>8.0</v>
      </c>
      <c r="L26" s="96" t="s">
        <v>51</v>
      </c>
      <c r="M26" s="96">
        <v>8.0</v>
      </c>
      <c r="N26" s="96" t="s">
        <v>51</v>
      </c>
      <c r="O26" s="96">
        <v>8.0</v>
      </c>
      <c r="P26" s="122">
        <f t="shared" si="2"/>
        <v>40</v>
      </c>
      <c r="Q26" s="61"/>
    </row>
    <row r="27">
      <c r="A27" s="120" t="s">
        <v>92</v>
      </c>
      <c r="B27" s="90" t="s">
        <v>51</v>
      </c>
      <c r="C27" s="125">
        <v>8.0</v>
      </c>
      <c r="D27" s="121" t="s">
        <v>164</v>
      </c>
      <c r="E27" s="125">
        <v>0.0</v>
      </c>
      <c r="F27" s="126" t="s">
        <v>4</v>
      </c>
      <c r="G27" s="125">
        <v>0.0</v>
      </c>
      <c r="H27" s="90" t="s">
        <v>51</v>
      </c>
      <c r="I27" s="125">
        <v>8.0</v>
      </c>
      <c r="J27" s="90" t="s">
        <v>51</v>
      </c>
      <c r="K27" s="125">
        <v>8.0</v>
      </c>
      <c r="L27" s="90" t="s">
        <v>51</v>
      </c>
      <c r="M27" s="125">
        <v>8.0</v>
      </c>
      <c r="N27" s="90" t="s">
        <v>51</v>
      </c>
      <c r="O27" s="125">
        <v>8.0</v>
      </c>
      <c r="P27" s="122">
        <f t="shared" si="2"/>
        <v>40</v>
      </c>
      <c r="Q27" s="61"/>
    </row>
    <row r="28">
      <c r="A28" s="124" t="s">
        <v>76</v>
      </c>
      <c r="B28" s="90" t="s">
        <v>51</v>
      </c>
      <c r="C28" s="125">
        <v>8.0</v>
      </c>
      <c r="D28" s="121" t="s">
        <v>164</v>
      </c>
      <c r="E28" s="125">
        <v>0.0</v>
      </c>
      <c r="F28" s="90" t="s">
        <v>51</v>
      </c>
      <c r="G28" s="125">
        <v>8.0</v>
      </c>
      <c r="H28" s="112" t="s">
        <v>4</v>
      </c>
      <c r="I28" s="80">
        <v>0.0</v>
      </c>
      <c r="J28" s="90" t="s">
        <v>51</v>
      </c>
      <c r="K28" s="125">
        <v>8.0</v>
      </c>
      <c r="L28" s="90" t="s">
        <v>51</v>
      </c>
      <c r="M28" s="125">
        <v>8.0</v>
      </c>
      <c r="N28" s="90" t="s">
        <v>51</v>
      </c>
      <c r="O28" s="125">
        <v>8.0</v>
      </c>
      <c r="P28" s="122">
        <f t="shared" si="2"/>
        <v>40</v>
      </c>
      <c r="Q28" s="61"/>
    </row>
    <row r="29">
      <c r="A29" s="120" t="s">
        <v>74</v>
      </c>
      <c r="B29" s="129" t="s">
        <v>17</v>
      </c>
      <c r="C29" s="125">
        <v>8.0</v>
      </c>
      <c r="D29" s="121" t="s">
        <v>164</v>
      </c>
      <c r="E29" s="125">
        <v>0.0</v>
      </c>
      <c r="F29" s="129" t="s">
        <v>17</v>
      </c>
      <c r="G29" s="125">
        <v>8.0</v>
      </c>
      <c r="H29" s="129" t="s">
        <v>17</v>
      </c>
      <c r="I29" s="125">
        <v>8.0</v>
      </c>
      <c r="J29" s="129" t="s">
        <v>17</v>
      </c>
      <c r="K29" s="125">
        <v>8.0</v>
      </c>
      <c r="L29" s="129" t="s">
        <v>17</v>
      </c>
      <c r="M29" s="125">
        <v>8.0</v>
      </c>
      <c r="N29" s="126" t="s">
        <v>4</v>
      </c>
      <c r="O29" s="125">
        <v>0.0</v>
      </c>
      <c r="P29" s="122">
        <f t="shared" si="2"/>
        <v>40</v>
      </c>
      <c r="Q29" s="61"/>
    </row>
    <row r="30">
      <c r="A30" s="120" t="s">
        <v>84</v>
      </c>
      <c r="B30" s="90" t="s">
        <v>51</v>
      </c>
      <c r="C30" s="125">
        <v>8.0</v>
      </c>
      <c r="D30" s="121" t="s">
        <v>164</v>
      </c>
      <c r="E30" s="125">
        <v>8.0</v>
      </c>
      <c r="F30" s="126" t="s">
        <v>4</v>
      </c>
      <c r="G30" s="125">
        <v>0.0</v>
      </c>
      <c r="H30" s="90" t="s">
        <v>51</v>
      </c>
      <c r="I30" s="125">
        <v>8.0</v>
      </c>
      <c r="J30" s="90" t="s">
        <v>51</v>
      </c>
      <c r="K30" s="125">
        <v>8.0</v>
      </c>
      <c r="L30" s="90" t="s">
        <v>51</v>
      </c>
      <c r="M30" s="125">
        <v>8.0</v>
      </c>
      <c r="N30" s="90" t="s">
        <v>51</v>
      </c>
      <c r="O30" s="125">
        <v>8.0</v>
      </c>
      <c r="P30" s="122">
        <f t="shared" si="2"/>
        <v>48</v>
      </c>
      <c r="Q30" s="77" t="s">
        <v>204</v>
      </c>
    </row>
    <row r="31">
      <c r="A31" s="120" t="s">
        <v>98</v>
      </c>
      <c r="B31" s="90" t="s">
        <v>51</v>
      </c>
      <c r="C31" s="125">
        <v>8.0</v>
      </c>
      <c r="D31" s="121" t="s">
        <v>164</v>
      </c>
      <c r="E31" s="125">
        <v>0.0</v>
      </c>
      <c r="F31" s="126" t="s">
        <v>4</v>
      </c>
      <c r="G31" s="125">
        <v>0.0</v>
      </c>
      <c r="H31" s="90" t="s">
        <v>51</v>
      </c>
      <c r="I31" s="125">
        <v>8.0</v>
      </c>
      <c r="J31" s="90" t="s">
        <v>51</v>
      </c>
      <c r="K31" s="125">
        <v>8.0</v>
      </c>
      <c r="L31" s="90" t="s">
        <v>51</v>
      </c>
      <c r="M31" s="125">
        <v>8.0</v>
      </c>
      <c r="N31" s="90" t="s">
        <v>51</v>
      </c>
      <c r="O31" s="125">
        <v>8.0</v>
      </c>
      <c r="P31" s="122">
        <f t="shared" si="2"/>
        <v>40</v>
      </c>
      <c r="Q31" s="61"/>
    </row>
    <row r="32">
      <c r="A32" s="120" t="s">
        <v>80</v>
      </c>
      <c r="B32" s="90" t="s">
        <v>36</v>
      </c>
      <c r="C32" s="125">
        <v>8.0</v>
      </c>
      <c r="D32" s="121" t="s">
        <v>164</v>
      </c>
      <c r="E32" s="125">
        <v>8.0</v>
      </c>
      <c r="F32" s="126" t="s">
        <v>4</v>
      </c>
      <c r="G32" s="125">
        <v>0.0</v>
      </c>
      <c r="H32" s="90" t="s">
        <v>36</v>
      </c>
      <c r="I32" s="125">
        <v>8.0</v>
      </c>
      <c r="J32" s="90" t="s">
        <v>36</v>
      </c>
      <c r="K32" s="125">
        <v>8.0</v>
      </c>
      <c r="L32" s="90" t="s">
        <v>36</v>
      </c>
      <c r="M32" s="125">
        <v>8.0</v>
      </c>
      <c r="N32" s="126" t="s">
        <v>4</v>
      </c>
      <c r="O32" s="125">
        <v>0.0</v>
      </c>
      <c r="P32" s="122">
        <f t="shared" si="2"/>
        <v>40</v>
      </c>
      <c r="Q32" s="61"/>
    </row>
    <row r="33">
      <c r="A33" s="123" t="s">
        <v>78</v>
      </c>
      <c r="B33" s="127"/>
      <c r="C33" s="128"/>
      <c r="D33" s="111" t="s">
        <v>164</v>
      </c>
      <c r="E33" s="128"/>
      <c r="F33" s="127"/>
      <c r="G33" s="128"/>
      <c r="H33" s="90" t="s">
        <v>51</v>
      </c>
      <c r="I33" s="125">
        <v>8.0</v>
      </c>
      <c r="J33" s="90" t="s">
        <v>51</v>
      </c>
      <c r="K33" s="125">
        <v>8.0</v>
      </c>
      <c r="L33" s="90" t="s">
        <v>51</v>
      </c>
      <c r="M33" s="125">
        <v>8.0</v>
      </c>
      <c r="N33" s="90" t="s">
        <v>51</v>
      </c>
      <c r="O33" s="125">
        <v>8.0</v>
      </c>
      <c r="P33" s="122">
        <f t="shared" si="2"/>
        <v>32</v>
      </c>
      <c r="Q33" s="77" t="s">
        <v>222</v>
      </c>
    </row>
    <row r="34">
      <c r="A34" s="120" t="s">
        <v>94</v>
      </c>
      <c r="B34" s="96" t="s">
        <v>36</v>
      </c>
      <c r="C34" s="96">
        <v>8.0</v>
      </c>
      <c r="D34" s="121" t="s">
        <v>164</v>
      </c>
      <c r="E34" s="125">
        <v>0.0</v>
      </c>
      <c r="F34" s="90" t="s">
        <v>36</v>
      </c>
      <c r="G34" s="125">
        <v>8.0</v>
      </c>
      <c r="H34" s="96" t="s">
        <v>36</v>
      </c>
      <c r="I34" s="96">
        <v>8.0</v>
      </c>
      <c r="J34" s="96" t="s">
        <v>36</v>
      </c>
      <c r="K34" s="96">
        <v>8.0</v>
      </c>
      <c r="L34" s="96" t="s">
        <v>36</v>
      </c>
      <c r="M34" s="96">
        <v>8.0</v>
      </c>
      <c r="N34" s="112" t="s">
        <v>4</v>
      </c>
      <c r="O34" s="96">
        <v>0.0</v>
      </c>
      <c r="P34" s="122">
        <f t="shared" si="2"/>
        <v>40</v>
      </c>
      <c r="Q34" s="61"/>
    </row>
    <row r="35">
      <c r="A35" s="124" t="s">
        <v>86</v>
      </c>
      <c r="B35" s="129" t="s">
        <v>17</v>
      </c>
      <c r="C35" s="125">
        <v>8.0</v>
      </c>
      <c r="D35" s="121" t="s">
        <v>164</v>
      </c>
      <c r="E35" s="125">
        <v>0.0</v>
      </c>
      <c r="F35" s="129" t="s">
        <v>17</v>
      </c>
      <c r="G35" s="125">
        <v>8.0</v>
      </c>
      <c r="H35" s="112" t="s">
        <v>4</v>
      </c>
      <c r="I35" s="80">
        <v>0.0</v>
      </c>
      <c r="J35" s="129" t="s">
        <v>17</v>
      </c>
      <c r="K35" s="125">
        <v>8.0</v>
      </c>
      <c r="L35" s="129" t="s">
        <v>17</v>
      </c>
      <c r="M35" s="125">
        <v>8.0</v>
      </c>
      <c r="N35" s="129" t="s">
        <v>17</v>
      </c>
      <c r="O35" s="125">
        <v>8.0</v>
      </c>
      <c r="P35" s="122">
        <f t="shared" si="2"/>
        <v>40</v>
      </c>
      <c r="Q35" s="61"/>
    </row>
    <row r="37">
      <c r="A37" s="115" t="s">
        <v>223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</row>
    <row r="38">
      <c r="A38" s="116" t="s">
        <v>65</v>
      </c>
      <c r="B38" s="117" t="s">
        <v>224</v>
      </c>
      <c r="C38" s="118"/>
      <c r="D38" s="117" t="s">
        <v>225</v>
      </c>
      <c r="E38" s="118"/>
      <c r="F38" s="117" t="s">
        <v>226</v>
      </c>
      <c r="G38" s="118"/>
      <c r="H38" s="117" t="s">
        <v>227</v>
      </c>
      <c r="I38" s="118"/>
      <c r="J38" s="117" t="s">
        <v>228</v>
      </c>
      <c r="K38" s="118"/>
      <c r="L38" s="117" t="s">
        <v>229</v>
      </c>
      <c r="M38" s="118"/>
      <c r="N38" s="117" t="s">
        <v>230</v>
      </c>
      <c r="O38" s="118"/>
      <c r="P38" s="117" t="s">
        <v>107</v>
      </c>
      <c r="Q38" s="119" t="s">
        <v>212</v>
      </c>
    </row>
    <row r="39">
      <c r="A39" s="120" t="s">
        <v>82</v>
      </c>
      <c r="B39" s="90" t="s">
        <v>51</v>
      </c>
      <c r="C39" s="125">
        <v>8.0</v>
      </c>
      <c r="D39" s="90" t="s">
        <v>51</v>
      </c>
      <c r="E39" s="125">
        <v>8.0</v>
      </c>
      <c r="F39" s="126" t="s">
        <v>4</v>
      </c>
      <c r="G39" s="125">
        <v>0.0</v>
      </c>
      <c r="H39" s="90" t="s">
        <v>51</v>
      </c>
      <c r="I39" s="125">
        <v>8.0</v>
      </c>
      <c r="J39" s="90" t="s">
        <v>51</v>
      </c>
      <c r="K39" s="125">
        <v>8.0</v>
      </c>
      <c r="L39" s="90" t="s">
        <v>51</v>
      </c>
      <c r="M39" s="125">
        <v>8.0</v>
      </c>
      <c r="N39" s="130" t="s">
        <v>4</v>
      </c>
      <c r="O39" s="125">
        <v>0.0</v>
      </c>
      <c r="P39" s="122">
        <f t="shared" ref="P39:P53" si="3">C39+E39+G39+I39+K39+M39+O39</f>
        <v>40</v>
      </c>
      <c r="Q39" s="61"/>
    </row>
    <row r="40">
      <c r="A40" s="123" t="s">
        <v>90</v>
      </c>
      <c r="B40" s="130" t="s">
        <v>4</v>
      </c>
      <c r="C40" s="125">
        <v>0.0</v>
      </c>
      <c r="D40" s="90" t="s">
        <v>51</v>
      </c>
      <c r="E40" s="125">
        <v>8.0</v>
      </c>
      <c r="F40" s="90" t="s">
        <v>51</v>
      </c>
      <c r="G40" s="125">
        <v>8.0</v>
      </c>
      <c r="H40" s="90" t="s">
        <v>51</v>
      </c>
      <c r="I40" s="125">
        <v>8.0</v>
      </c>
      <c r="J40" s="90" t="s">
        <v>51</v>
      </c>
      <c r="K40" s="125">
        <v>8.0</v>
      </c>
      <c r="L40" s="90" t="s">
        <v>51</v>
      </c>
      <c r="M40" s="125">
        <v>8.0</v>
      </c>
      <c r="N40" s="126" t="s">
        <v>4</v>
      </c>
      <c r="O40" s="125">
        <v>0.0</v>
      </c>
      <c r="P40" s="122">
        <f t="shared" si="3"/>
        <v>40</v>
      </c>
      <c r="Q40" s="61"/>
    </row>
    <row r="41">
      <c r="A41" s="123" t="s">
        <v>88</v>
      </c>
      <c r="B41" s="90" t="s">
        <v>36</v>
      </c>
      <c r="C41" s="125">
        <v>8.0</v>
      </c>
      <c r="D41" s="90" t="s">
        <v>36</v>
      </c>
      <c r="E41" s="125">
        <v>8.0</v>
      </c>
      <c r="F41" s="126" t="s">
        <v>4</v>
      </c>
      <c r="G41" s="125">
        <v>0.0</v>
      </c>
      <c r="H41" s="90" t="s">
        <v>36</v>
      </c>
      <c r="I41" s="125">
        <v>8.0</v>
      </c>
      <c r="J41" s="90" t="s">
        <v>36</v>
      </c>
      <c r="K41" s="125">
        <v>8.0</v>
      </c>
      <c r="L41" s="90" t="s">
        <v>36</v>
      </c>
      <c r="M41" s="125">
        <v>8.0</v>
      </c>
      <c r="N41" s="126" t="s">
        <v>4</v>
      </c>
      <c r="O41" s="125">
        <v>0.0</v>
      </c>
      <c r="P41" s="122">
        <f t="shared" si="3"/>
        <v>40</v>
      </c>
      <c r="Q41" s="61"/>
    </row>
    <row r="42">
      <c r="A42" s="120" t="s">
        <v>70</v>
      </c>
      <c r="B42" s="126" t="s">
        <v>4</v>
      </c>
      <c r="C42" s="125">
        <v>0.0</v>
      </c>
      <c r="D42" s="131" t="s">
        <v>51</v>
      </c>
      <c r="E42" s="132">
        <v>8.0</v>
      </c>
      <c r="F42" s="133" t="s">
        <v>51</v>
      </c>
      <c r="G42" s="134">
        <v>8.0</v>
      </c>
      <c r="H42" s="90" t="s">
        <v>51</v>
      </c>
      <c r="I42" s="125">
        <v>8.0</v>
      </c>
      <c r="J42" s="90" t="s">
        <v>51</v>
      </c>
      <c r="K42" s="125">
        <v>8.0</v>
      </c>
      <c r="L42" s="90" t="s">
        <v>51</v>
      </c>
      <c r="M42" s="125">
        <v>8.0</v>
      </c>
      <c r="N42" s="126" t="s">
        <v>4</v>
      </c>
      <c r="O42" s="125">
        <v>0.0</v>
      </c>
      <c r="P42" s="122">
        <f t="shared" si="3"/>
        <v>40</v>
      </c>
      <c r="Q42" s="77" t="s">
        <v>231</v>
      </c>
    </row>
    <row r="43">
      <c r="A43" s="120" t="s">
        <v>72</v>
      </c>
      <c r="B43" s="126" t="s">
        <v>4</v>
      </c>
      <c r="C43" s="125">
        <v>0.0</v>
      </c>
      <c r="D43" s="90" t="s">
        <v>51</v>
      </c>
      <c r="E43" s="125">
        <v>8.0</v>
      </c>
      <c r="F43" s="90" t="s">
        <v>51</v>
      </c>
      <c r="G43" s="125">
        <v>8.0</v>
      </c>
      <c r="H43" s="90" t="s">
        <v>51</v>
      </c>
      <c r="I43" s="125">
        <v>8.0</v>
      </c>
      <c r="J43" s="90" t="s">
        <v>51</v>
      </c>
      <c r="K43" s="125">
        <v>8.0</v>
      </c>
      <c r="L43" s="90" t="s">
        <v>51</v>
      </c>
      <c r="M43" s="125">
        <v>8.0</v>
      </c>
      <c r="N43" s="126" t="s">
        <v>4</v>
      </c>
      <c r="O43" s="125">
        <v>0.0</v>
      </c>
      <c r="P43" s="122">
        <f t="shared" si="3"/>
        <v>40</v>
      </c>
      <c r="Q43" s="61"/>
    </row>
    <row r="44">
      <c r="A44" s="120" t="s">
        <v>96</v>
      </c>
      <c r="B44" s="90" t="s">
        <v>51</v>
      </c>
      <c r="C44" s="125">
        <v>8.0</v>
      </c>
      <c r="D44" s="90" t="s">
        <v>51</v>
      </c>
      <c r="E44" s="125">
        <v>8.0</v>
      </c>
      <c r="F44" s="126" t="s">
        <v>4</v>
      </c>
      <c r="G44" s="125">
        <v>0.0</v>
      </c>
      <c r="H44" s="90" t="s">
        <v>51</v>
      </c>
      <c r="I44" s="125">
        <v>8.0</v>
      </c>
      <c r="J44" s="90" t="s">
        <v>51</v>
      </c>
      <c r="K44" s="125">
        <v>8.0</v>
      </c>
      <c r="L44" s="90" t="s">
        <v>51</v>
      </c>
      <c r="M44" s="125">
        <v>8.0</v>
      </c>
      <c r="N44" s="130" t="s">
        <v>4</v>
      </c>
      <c r="O44" s="125">
        <v>0.0</v>
      </c>
      <c r="P44" s="122">
        <f t="shared" si="3"/>
        <v>40</v>
      </c>
      <c r="Q44" s="77" t="s">
        <v>232</v>
      </c>
    </row>
    <row r="45">
      <c r="A45" s="120" t="s">
        <v>92</v>
      </c>
      <c r="B45" s="90" t="s">
        <v>51</v>
      </c>
      <c r="C45" s="125">
        <v>8.0</v>
      </c>
      <c r="D45" s="130" t="s">
        <v>4</v>
      </c>
      <c r="E45" s="125">
        <v>0.0</v>
      </c>
      <c r="F45" s="90" t="s">
        <v>51</v>
      </c>
      <c r="G45" s="125">
        <v>8.0</v>
      </c>
      <c r="H45" s="90" t="s">
        <v>51</v>
      </c>
      <c r="I45" s="125">
        <v>8.0</v>
      </c>
      <c r="J45" s="90" t="s">
        <v>51</v>
      </c>
      <c r="K45" s="125">
        <v>8.0</v>
      </c>
      <c r="L45" s="90" t="s">
        <v>51</v>
      </c>
      <c r="M45" s="125">
        <v>8.0</v>
      </c>
      <c r="N45" s="126" t="s">
        <v>4</v>
      </c>
      <c r="O45" s="125">
        <v>0.0</v>
      </c>
      <c r="P45" s="122">
        <f t="shared" si="3"/>
        <v>40</v>
      </c>
      <c r="Q45" s="61"/>
    </row>
    <row r="46">
      <c r="A46" s="124" t="s">
        <v>76</v>
      </c>
      <c r="B46" s="126" t="s">
        <v>4</v>
      </c>
      <c r="C46" s="125">
        <v>0.0</v>
      </c>
      <c r="D46" s="126" t="s">
        <v>4</v>
      </c>
      <c r="E46" s="125">
        <v>0.0</v>
      </c>
      <c r="F46" s="131" t="s">
        <v>51</v>
      </c>
      <c r="G46" s="132">
        <v>8.0</v>
      </c>
      <c r="H46" s="131" t="s">
        <v>51</v>
      </c>
      <c r="I46" s="132">
        <v>8.0</v>
      </c>
      <c r="J46" s="131" t="s">
        <v>51</v>
      </c>
      <c r="K46" s="132">
        <v>8.0</v>
      </c>
      <c r="L46" s="135" t="s">
        <v>51</v>
      </c>
      <c r="M46" s="136">
        <v>8.0</v>
      </c>
      <c r="N46" s="90" t="s">
        <v>51</v>
      </c>
      <c r="O46" s="125">
        <v>8.0</v>
      </c>
      <c r="P46" s="122">
        <f t="shared" si="3"/>
        <v>40</v>
      </c>
      <c r="Q46" s="77" t="s">
        <v>233</v>
      </c>
    </row>
    <row r="47">
      <c r="A47" s="120" t="s">
        <v>74</v>
      </c>
      <c r="B47" s="126" t="s">
        <v>4</v>
      </c>
      <c r="C47" s="125">
        <v>0.0</v>
      </c>
      <c r="D47" s="129" t="s">
        <v>17</v>
      </c>
      <c r="E47" s="125">
        <v>8.0</v>
      </c>
      <c r="F47" s="129" t="s">
        <v>17</v>
      </c>
      <c r="G47" s="125">
        <v>8.0</v>
      </c>
      <c r="H47" s="129" t="s">
        <v>17</v>
      </c>
      <c r="I47" s="125">
        <v>8.0</v>
      </c>
      <c r="J47" s="137" t="s">
        <v>234</v>
      </c>
      <c r="K47" s="138"/>
      <c r="L47" s="137" t="s">
        <v>234</v>
      </c>
      <c r="M47" s="138"/>
      <c r="N47" s="126" t="s">
        <v>4</v>
      </c>
      <c r="O47" s="125">
        <v>0.0</v>
      </c>
      <c r="P47" s="122">
        <f t="shared" si="3"/>
        <v>24</v>
      </c>
      <c r="Q47" s="61"/>
    </row>
    <row r="48">
      <c r="A48" s="120" t="s">
        <v>84</v>
      </c>
      <c r="B48" s="90" t="s">
        <v>51</v>
      </c>
      <c r="C48" s="125">
        <v>8.0</v>
      </c>
      <c r="D48" s="90" t="s">
        <v>51</v>
      </c>
      <c r="E48" s="125">
        <v>8.0</v>
      </c>
      <c r="F48" s="126" t="s">
        <v>4</v>
      </c>
      <c r="G48" s="125">
        <v>0.0</v>
      </c>
      <c r="H48" s="131" t="s">
        <v>51</v>
      </c>
      <c r="I48" s="132">
        <v>8.0</v>
      </c>
      <c r="J48" s="131" t="s">
        <v>51</v>
      </c>
      <c r="K48" s="132">
        <v>8.0</v>
      </c>
      <c r="L48" s="90" t="s">
        <v>51</v>
      </c>
      <c r="M48" s="125">
        <v>8.0</v>
      </c>
      <c r="N48" s="126" t="s">
        <v>4</v>
      </c>
      <c r="O48" s="125">
        <v>0.0</v>
      </c>
      <c r="P48" s="122">
        <f t="shared" si="3"/>
        <v>40</v>
      </c>
      <c r="Q48" s="77" t="s">
        <v>235</v>
      </c>
    </row>
    <row r="49">
      <c r="A49" s="120" t="s">
        <v>98</v>
      </c>
      <c r="B49" s="130" t="s">
        <v>4</v>
      </c>
      <c r="C49" s="125">
        <v>0.0</v>
      </c>
      <c r="D49" s="90" t="s">
        <v>51</v>
      </c>
      <c r="E49" s="125">
        <v>8.0</v>
      </c>
      <c r="F49" s="90" t="s">
        <v>51</v>
      </c>
      <c r="G49" s="125">
        <v>8.0</v>
      </c>
      <c r="H49" s="90" t="s">
        <v>51</v>
      </c>
      <c r="I49" s="125">
        <v>8.0</v>
      </c>
      <c r="J49" s="90" t="s">
        <v>51</v>
      </c>
      <c r="K49" s="125">
        <v>8.0</v>
      </c>
      <c r="L49" s="90" t="s">
        <v>51</v>
      </c>
      <c r="M49" s="125">
        <v>8.0</v>
      </c>
      <c r="N49" s="130" t="s">
        <v>4</v>
      </c>
      <c r="O49" s="125">
        <v>0.0</v>
      </c>
      <c r="P49" s="122">
        <f t="shared" si="3"/>
        <v>40</v>
      </c>
      <c r="Q49" s="61"/>
    </row>
    <row r="50">
      <c r="A50" s="120" t="s">
        <v>80</v>
      </c>
      <c r="B50" s="90" t="s">
        <v>36</v>
      </c>
      <c r="C50" s="125">
        <v>8.0</v>
      </c>
      <c r="D50" s="90" t="s">
        <v>36</v>
      </c>
      <c r="E50" s="125">
        <v>8.0</v>
      </c>
      <c r="F50" s="126" t="s">
        <v>4</v>
      </c>
      <c r="G50" s="125">
        <v>0.0</v>
      </c>
      <c r="H50" s="90" t="s">
        <v>36</v>
      </c>
      <c r="I50" s="125">
        <v>8.0</v>
      </c>
      <c r="J50" s="90" t="s">
        <v>36</v>
      </c>
      <c r="K50" s="125">
        <v>8.0</v>
      </c>
      <c r="L50" s="90" t="s">
        <v>36</v>
      </c>
      <c r="M50" s="125">
        <v>8.0</v>
      </c>
      <c r="N50" s="130" t="s">
        <v>4</v>
      </c>
      <c r="O50" s="125">
        <v>0.0</v>
      </c>
      <c r="P50" s="122">
        <f t="shared" si="3"/>
        <v>40</v>
      </c>
      <c r="Q50" s="61"/>
    </row>
    <row r="51">
      <c r="A51" s="123" t="s">
        <v>78</v>
      </c>
      <c r="B51" s="90" t="s">
        <v>51</v>
      </c>
      <c r="C51" s="125">
        <v>8.0</v>
      </c>
      <c r="D51" s="90" t="s">
        <v>51</v>
      </c>
      <c r="E51" s="125">
        <v>8.0</v>
      </c>
      <c r="F51" s="139" t="s">
        <v>51</v>
      </c>
      <c r="G51" s="138">
        <v>8.0</v>
      </c>
      <c r="H51" s="126" t="s">
        <v>4</v>
      </c>
      <c r="I51" s="125">
        <v>0.0</v>
      </c>
      <c r="J51" s="90" t="s">
        <v>51</v>
      </c>
      <c r="K51" s="125">
        <v>8.0</v>
      </c>
      <c r="L51" s="90" t="s">
        <v>51</v>
      </c>
      <c r="M51" s="125">
        <v>8.0</v>
      </c>
      <c r="N51" s="126" t="s">
        <v>4</v>
      </c>
      <c r="O51" s="125">
        <v>0.0</v>
      </c>
      <c r="P51" s="122">
        <f t="shared" si="3"/>
        <v>40</v>
      </c>
      <c r="Q51" s="77" t="s">
        <v>236</v>
      </c>
    </row>
    <row r="52">
      <c r="A52" s="120" t="s">
        <v>94</v>
      </c>
      <c r="B52" s="90" t="s">
        <v>36</v>
      </c>
      <c r="C52" s="125">
        <v>8.0</v>
      </c>
      <c r="D52" s="126" t="s">
        <v>4</v>
      </c>
      <c r="E52" s="125">
        <v>0.0</v>
      </c>
      <c r="F52" s="90" t="s">
        <v>36</v>
      </c>
      <c r="G52" s="125">
        <v>8.0</v>
      </c>
      <c r="H52" s="90" t="s">
        <v>36</v>
      </c>
      <c r="I52" s="125">
        <v>8.0</v>
      </c>
      <c r="J52" s="90" t="s">
        <v>36</v>
      </c>
      <c r="K52" s="125">
        <v>8.0</v>
      </c>
      <c r="L52" s="90" t="s">
        <v>36</v>
      </c>
      <c r="M52" s="125">
        <v>8.0</v>
      </c>
      <c r="N52" s="126" t="s">
        <v>4</v>
      </c>
      <c r="O52" s="125">
        <v>0.0</v>
      </c>
      <c r="P52" s="122">
        <f t="shared" si="3"/>
        <v>40</v>
      </c>
      <c r="Q52" s="61"/>
    </row>
    <row r="53">
      <c r="A53" s="124" t="s">
        <v>86</v>
      </c>
      <c r="B53" s="126" t="s">
        <v>4</v>
      </c>
      <c r="C53" s="125">
        <v>0.0</v>
      </c>
      <c r="D53" s="126" t="s">
        <v>4</v>
      </c>
      <c r="E53" s="125">
        <v>0.0</v>
      </c>
      <c r="F53" s="129" t="s">
        <v>17</v>
      </c>
      <c r="G53" s="125">
        <v>8.0</v>
      </c>
      <c r="H53" s="129" t="s">
        <v>17</v>
      </c>
      <c r="I53" s="125">
        <v>8.0</v>
      </c>
      <c r="J53" s="129" t="s">
        <v>17</v>
      </c>
      <c r="K53" s="125">
        <v>8.0</v>
      </c>
      <c r="L53" s="129" t="s">
        <v>17</v>
      </c>
      <c r="M53" s="125">
        <v>8.0</v>
      </c>
      <c r="N53" s="129" t="s">
        <v>17</v>
      </c>
      <c r="O53" s="125">
        <v>8.0</v>
      </c>
      <c r="P53" s="122">
        <f t="shared" si="3"/>
        <v>40</v>
      </c>
      <c r="Q53" s="61"/>
    </row>
    <row r="55">
      <c r="A55" s="115" t="s">
        <v>237</v>
      </c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</row>
    <row r="56">
      <c r="A56" s="116" t="s">
        <v>65</v>
      </c>
      <c r="B56" s="140" t="s">
        <v>238</v>
      </c>
      <c r="C56" s="141"/>
      <c r="D56" s="140" t="s">
        <v>239</v>
      </c>
      <c r="E56" s="141"/>
      <c r="F56" s="140" t="s">
        <v>240</v>
      </c>
      <c r="G56" s="141"/>
      <c r="H56" s="140" t="s">
        <v>241</v>
      </c>
      <c r="I56" s="141"/>
      <c r="J56" s="140" t="s">
        <v>242</v>
      </c>
      <c r="K56" s="141"/>
      <c r="L56" s="140" t="s">
        <v>243</v>
      </c>
      <c r="M56" s="141"/>
      <c r="N56" s="140" t="s">
        <v>244</v>
      </c>
      <c r="O56" s="141"/>
      <c r="P56" s="117" t="s">
        <v>107</v>
      </c>
      <c r="Q56" s="119" t="s">
        <v>212</v>
      </c>
    </row>
    <row r="57">
      <c r="A57" s="142" t="s">
        <v>82</v>
      </c>
      <c r="B57" s="90" t="s">
        <v>51</v>
      </c>
      <c r="C57" s="125">
        <v>8.0</v>
      </c>
      <c r="D57" s="90" t="s">
        <v>51</v>
      </c>
      <c r="E57" s="125">
        <v>8.0</v>
      </c>
      <c r="F57" s="126" t="s">
        <v>4</v>
      </c>
      <c r="G57" s="125">
        <v>0.0</v>
      </c>
      <c r="H57" s="90" t="s">
        <v>51</v>
      </c>
      <c r="I57" s="125">
        <v>8.0</v>
      </c>
      <c r="J57" s="90" t="s">
        <v>51</v>
      </c>
      <c r="K57" s="125">
        <v>8.0</v>
      </c>
      <c r="L57" s="90" t="s">
        <v>51</v>
      </c>
      <c r="M57" s="125">
        <v>8.0</v>
      </c>
      <c r="N57" s="130" t="s">
        <v>4</v>
      </c>
      <c r="O57" s="125">
        <v>0.0</v>
      </c>
      <c r="P57" s="122">
        <f t="shared" ref="P57:P71" si="4">C57+E57+G57+I57+K57+M57+O57</f>
        <v>40</v>
      </c>
      <c r="Q57" s="61"/>
    </row>
    <row r="58">
      <c r="A58" s="143" t="s">
        <v>90</v>
      </c>
      <c r="B58" s="130" t="s">
        <v>4</v>
      </c>
      <c r="C58" s="125">
        <v>0.0</v>
      </c>
      <c r="D58" s="131" t="s">
        <v>51</v>
      </c>
      <c r="E58" s="132">
        <v>8.0</v>
      </c>
      <c r="F58" s="131" t="s">
        <v>51</v>
      </c>
      <c r="G58" s="132">
        <v>8.0</v>
      </c>
      <c r="H58" s="90" t="s">
        <v>51</v>
      </c>
      <c r="I58" s="125">
        <v>8.0</v>
      </c>
      <c r="J58" s="90" t="s">
        <v>51</v>
      </c>
      <c r="K58" s="125">
        <v>8.0</v>
      </c>
      <c r="L58" s="90" t="s">
        <v>51</v>
      </c>
      <c r="M58" s="125">
        <v>8.0</v>
      </c>
      <c r="N58" s="126" t="s">
        <v>4</v>
      </c>
      <c r="O58" s="125">
        <v>0.0</v>
      </c>
      <c r="P58" s="122">
        <f t="shared" si="4"/>
        <v>40</v>
      </c>
      <c r="Q58" s="77" t="s">
        <v>245</v>
      </c>
    </row>
    <row r="59">
      <c r="A59" s="143" t="s">
        <v>88</v>
      </c>
      <c r="B59" s="90" t="s">
        <v>36</v>
      </c>
      <c r="C59" s="125">
        <v>8.0</v>
      </c>
      <c r="D59" s="90" t="s">
        <v>36</v>
      </c>
      <c r="E59" s="125">
        <v>8.0</v>
      </c>
      <c r="F59" s="126" t="s">
        <v>4</v>
      </c>
      <c r="G59" s="125">
        <v>0.0</v>
      </c>
      <c r="H59" s="90" t="s">
        <v>36</v>
      </c>
      <c r="I59" s="125">
        <v>8.0</v>
      </c>
      <c r="J59" s="90" t="s">
        <v>36</v>
      </c>
      <c r="K59" s="125">
        <v>8.0</v>
      </c>
      <c r="L59" s="90" t="s">
        <v>36</v>
      </c>
      <c r="M59" s="125">
        <v>8.0</v>
      </c>
      <c r="N59" s="126" t="s">
        <v>4</v>
      </c>
      <c r="O59" s="125">
        <v>0.0</v>
      </c>
      <c r="P59" s="122">
        <f t="shared" si="4"/>
        <v>40</v>
      </c>
      <c r="Q59" s="61"/>
    </row>
    <row r="60">
      <c r="A60" s="142" t="s">
        <v>70</v>
      </c>
      <c r="B60" s="90" t="s">
        <v>51</v>
      </c>
      <c r="C60" s="125">
        <v>8.0</v>
      </c>
      <c r="D60" s="90" t="s">
        <v>51</v>
      </c>
      <c r="E60" s="125">
        <v>8.0</v>
      </c>
      <c r="F60" s="90" t="s">
        <v>51</v>
      </c>
      <c r="G60" s="125">
        <v>8.0</v>
      </c>
      <c r="H60" s="126" t="s">
        <v>4</v>
      </c>
      <c r="I60" s="125">
        <v>0.0</v>
      </c>
      <c r="J60" s="90" t="s">
        <v>51</v>
      </c>
      <c r="K60" s="125">
        <v>8.0</v>
      </c>
      <c r="L60" s="90" t="s">
        <v>51</v>
      </c>
      <c r="M60" s="125">
        <v>8.0</v>
      </c>
      <c r="N60" s="126" t="s">
        <v>4</v>
      </c>
      <c r="O60" s="125">
        <v>0.0</v>
      </c>
      <c r="P60" s="122">
        <f t="shared" si="4"/>
        <v>40</v>
      </c>
      <c r="Q60" s="61"/>
    </row>
    <row r="61">
      <c r="A61" s="142" t="s">
        <v>72</v>
      </c>
      <c r="B61" s="126" t="s">
        <v>4</v>
      </c>
      <c r="C61" s="125">
        <v>0.0</v>
      </c>
      <c r="D61" s="131" t="s">
        <v>51</v>
      </c>
      <c r="E61" s="132">
        <v>1.0</v>
      </c>
      <c r="F61" s="90" t="s">
        <v>51</v>
      </c>
      <c r="G61" s="125">
        <v>8.0</v>
      </c>
      <c r="H61" s="90" t="s">
        <v>51</v>
      </c>
      <c r="I61" s="125">
        <v>8.0</v>
      </c>
      <c r="J61" s="90" t="s">
        <v>51</v>
      </c>
      <c r="K61" s="125">
        <v>8.0</v>
      </c>
      <c r="L61" s="90" t="s">
        <v>51</v>
      </c>
      <c r="M61" s="125">
        <v>8.0</v>
      </c>
      <c r="N61" s="126" t="s">
        <v>4</v>
      </c>
      <c r="O61" s="125">
        <v>0.0</v>
      </c>
      <c r="P61" s="122">
        <f t="shared" si="4"/>
        <v>33</v>
      </c>
      <c r="Q61" s="77" t="s">
        <v>246</v>
      </c>
    </row>
    <row r="62">
      <c r="A62" s="142" t="s">
        <v>96</v>
      </c>
      <c r="B62" s="137" t="s">
        <v>234</v>
      </c>
      <c r="C62" s="138"/>
      <c r="D62" s="137" t="s">
        <v>234</v>
      </c>
      <c r="E62" s="138"/>
      <c r="F62" s="126" t="s">
        <v>4</v>
      </c>
      <c r="G62" s="125">
        <v>0.0</v>
      </c>
      <c r="H62" s="90" t="s">
        <v>51</v>
      </c>
      <c r="I62" s="125">
        <v>8.0</v>
      </c>
      <c r="J62" s="135" t="s">
        <v>51</v>
      </c>
      <c r="K62" s="125">
        <v>8.0</v>
      </c>
      <c r="L62" s="90" t="s">
        <v>51</v>
      </c>
      <c r="M62" s="125">
        <v>8.0</v>
      </c>
      <c r="N62" s="130" t="s">
        <v>4</v>
      </c>
      <c r="O62" s="125">
        <v>0.0</v>
      </c>
      <c r="P62" s="122">
        <f t="shared" si="4"/>
        <v>24</v>
      </c>
      <c r="Q62" s="77"/>
    </row>
    <row r="63">
      <c r="A63" s="142" t="s">
        <v>92</v>
      </c>
      <c r="B63" s="90" t="s">
        <v>51</v>
      </c>
      <c r="C63" s="125">
        <v>8.0</v>
      </c>
      <c r="D63" s="130" t="s">
        <v>4</v>
      </c>
      <c r="E63" s="125">
        <v>0.0</v>
      </c>
      <c r="F63" s="90" t="s">
        <v>51</v>
      </c>
      <c r="G63" s="125">
        <v>8.0</v>
      </c>
      <c r="H63" s="90" t="s">
        <v>51</v>
      </c>
      <c r="I63" s="125">
        <v>8.0</v>
      </c>
      <c r="J63" s="90" t="s">
        <v>51</v>
      </c>
      <c r="K63" s="125">
        <v>8.0</v>
      </c>
      <c r="L63" s="90" t="s">
        <v>51</v>
      </c>
      <c r="M63" s="125">
        <v>8.0</v>
      </c>
      <c r="N63" s="126" t="s">
        <v>4</v>
      </c>
      <c r="O63" s="125">
        <v>0.0</v>
      </c>
      <c r="P63" s="122">
        <f t="shared" si="4"/>
        <v>40</v>
      </c>
      <c r="Q63" s="61"/>
    </row>
    <row r="64">
      <c r="A64" s="144" t="s">
        <v>76</v>
      </c>
      <c r="B64" s="126" t="s">
        <v>4</v>
      </c>
      <c r="C64" s="125">
        <v>0.0</v>
      </c>
      <c r="D64" s="126" t="s">
        <v>4</v>
      </c>
      <c r="E64" s="125">
        <v>0.0</v>
      </c>
      <c r="F64" s="90" t="s">
        <v>51</v>
      </c>
      <c r="G64" s="125">
        <v>8.0</v>
      </c>
      <c r="H64" s="90" t="s">
        <v>51</v>
      </c>
      <c r="I64" s="125">
        <v>8.0</v>
      </c>
      <c r="J64" s="90" t="s">
        <v>51</v>
      </c>
      <c r="K64" s="125">
        <v>8.0</v>
      </c>
      <c r="L64" s="90" t="s">
        <v>51</v>
      </c>
      <c r="M64" s="125">
        <v>8.0</v>
      </c>
      <c r="N64" s="90" t="s">
        <v>51</v>
      </c>
      <c r="O64" s="125">
        <v>8.0</v>
      </c>
      <c r="P64" s="122">
        <f t="shared" si="4"/>
        <v>40</v>
      </c>
      <c r="Q64" s="61"/>
    </row>
    <row r="65">
      <c r="A65" s="142" t="s">
        <v>74</v>
      </c>
      <c r="B65" s="126" t="s">
        <v>4</v>
      </c>
      <c r="C65" s="125">
        <v>0.0</v>
      </c>
      <c r="D65" s="129" t="s">
        <v>17</v>
      </c>
      <c r="E65" s="125">
        <v>8.0</v>
      </c>
      <c r="F65" s="129" t="s">
        <v>17</v>
      </c>
      <c r="G65" s="125">
        <v>8.0</v>
      </c>
      <c r="H65" s="129" t="s">
        <v>17</v>
      </c>
      <c r="I65" s="125">
        <v>8.0</v>
      </c>
      <c r="J65" s="129" t="s">
        <v>17</v>
      </c>
      <c r="K65" s="125">
        <v>8.0</v>
      </c>
      <c r="L65" s="129" t="s">
        <v>17</v>
      </c>
      <c r="M65" s="125">
        <v>8.0</v>
      </c>
      <c r="N65" s="126" t="s">
        <v>4</v>
      </c>
      <c r="O65" s="125">
        <v>0.0</v>
      </c>
      <c r="P65" s="122">
        <f t="shared" si="4"/>
        <v>40</v>
      </c>
      <c r="Q65" s="61"/>
    </row>
    <row r="66">
      <c r="A66" s="142" t="s">
        <v>84</v>
      </c>
      <c r="B66" s="90" t="s">
        <v>51</v>
      </c>
      <c r="C66" s="125">
        <v>8.0</v>
      </c>
      <c r="D66" s="90" t="s">
        <v>51</v>
      </c>
      <c r="E66" s="125">
        <v>8.0</v>
      </c>
      <c r="F66" s="126" t="s">
        <v>4</v>
      </c>
      <c r="G66" s="125">
        <v>0.0</v>
      </c>
      <c r="H66" s="90" t="s">
        <v>51</v>
      </c>
      <c r="I66" s="125">
        <v>8.0</v>
      </c>
      <c r="J66" s="90" t="s">
        <v>51</v>
      </c>
      <c r="K66" s="125">
        <v>8.0</v>
      </c>
      <c r="L66" s="90" t="s">
        <v>51</v>
      </c>
      <c r="M66" s="125">
        <v>8.0</v>
      </c>
      <c r="N66" s="126" t="s">
        <v>4</v>
      </c>
      <c r="O66" s="125">
        <v>0.0</v>
      </c>
      <c r="P66" s="122">
        <f t="shared" si="4"/>
        <v>40</v>
      </c>
      <c r="Q66" s="61"/>
    </row>
    <row r="67">
      <c r="A67" s="142" t="s">
        <v>98</v>
      </c>
      <c r="B67" s="130" t="s">
        <v>4</v>
      </c>
      <c r="C67" s="125">
        <v>0.0</v>
      </c>
      <c r="D67" s="90" t="s">
        <v>51</v>
      </c>
      <c r="E67" s="125">
        <v>8.0</v>
      </c>
      <c r="F67" s="137" t="s">
        <v>234</v>
      </c>
      <c r="G67" s="138"/>
      <c r="H67" s="90" t="s">
        <v>51</v>
      </c>
      <c r="I67" s="125">
        <v>8.0</v>
      </c>
      <c r="J67" s="90" t="s">
        <v>51</v>
      </c>
      <c r="K67" s="125">
        <v>8.0</v>
      </c>
      <c r="L67" s="90" t="s">
        <v>51</v>
      </c>
      <c r="M67" s="125">
        <v>8.0</v>
      </c>
      <c r="N67" s="130" t="s">
        <v>4</v>
      </c>
      <c r="O67" s="125">
        <v>0.0</v>
      </c>
      <c r="P67" s="122">
        <f t="shared" si="4"/>
        <v>32</v>
      </c>
      <c r="Q67" s="61"/>
    </row>
    <row r="68">
      <c r="A68" s="142" t="s">
        <v>80</v>
      </c>
      <c r="B68" s="90" t="s">
        <v>36</v>
      </c>
      <c r="C68" s="125">
        <v>8.0</v>
      </c>
      <c r="D68" s="90" t="s">
        <v>36</v>
      </c>
      <c r="E68" s="125">
        <v>8.0</v>
      </c>
      <c r="F68" s="126" t="s">
        <v>4</v>
      </c>
      <c r="G68" s="125">
        <v>0.0</v>
      </c>
      <c r="H68" s="90" t="s">
        <v>36</v>
      </c>
      <c r="I68" s="125">
        <v>8.0</v>
      </c>
      <c r="J68" s="90" t="s">
        <v>36</v>
      </c>
      <c r="K68" s="125">
        <v>8.0</v>
      </c>
      <c r="L68" s="90" t="s">
        <v>36</v>
      </c>
      <c r="M68" s="125">
        <v>8.0</v>
      </c>
      <c r="N68" s="130" t="s">
        <v>4</v>
      </c>
      <c r="O68" s="125">
        <v>0.0</v>
      </c>
      <c r="P68" s="122">
        <f t="shared" si="4"/>
        <v>40</v>
      </c>
      <c r="Q68" s="61"/>
    </row>
    <row r="69">
      <c r="A69" s="143" t="s">
        <v>78</v>
      </c>
      <c r="B69" s="90" t="s">
        <v>51</v>
      </c>
      <c r="C69" s="125">
        <v>8.0</v>
      </c>
      <c r="D69" s="90" t="s">
        <v>51</v>
      </c>
      <c r="E69" s="125">
        <v>8.0</v>
      </c>
      <c r="F69" s="90" t="s">
        <v>51</v>
      </c>
      <c r="G69" s="125">
        <v>8.0</v>
      </c>
      <c r="H69" s="126" t="s">
        <v>4</v>
      </c>
      <c r="I69" s="125">
        <v>0.0</v>
      </c>
      <c r="J69" s="90" t="s">
        <v>51</v>
      </c>
      <c r="K69" s="125">
        <v>8.0</v>
      </c>
      <c r="L69" s="90" t="s">
        <v>51</v>
      </c>
      <c r="M69" s="125">
        <v>8.0</v>
      </c>
      <c r="N69" s="126" t="s">
        <v>4</v>
      </c>
      <c r="O69" s="125">
        <v>0.0</v>
      </c>
      <c r="P69" s="122">
        <f t="shared" si="4"/>
        <v>40</v>
      </c>
      <c r="Q69" s="61"/>
    </row>
    <row r="70">
      <c r="A70" s="142" t="s">
        <v>94</v>
      </c>
      <c r="B70" s="90" t="s">
        <v>36</v>
      </c>
      <c r="C70" s="125">
        <v>8.0</v>
      </c>
      <c r="D70" s="126" t="s">
        <v>4</v>
      </c>
      <c r="E70" s="125">
        <v>0.0</v>
      </c>
      <c r="F70" s="90" t="s">
        <v>36</v>
      </c>
      <c r="G70" s="125">
        <v>8.0</v>
      </c>
      <c r="H70" s="90" t="s">
        <v>36</v>
      </c>
      <c r="I70" s="125">
        <v>8.0</v>
      </c>
      <c r="J70" s="90" t="s">
        <v>36</v>
      </c>
      <c r="K70" s="125">
        <v>8.0</v>
      </c>
      <c r="L70" s="90" t="s">
        <v>36</v>
      </c>
      <c r="M70" s="125">
        <v>8.0</v>
      </c>
      <c r="N70" s="126" t="s">
        <v>4</v>
      </c>
      <c r="O70" s="125">
        <v>0.0</v>
      </c>
      <c r="P70" s="122">
        <f t="shared" si="4"/>
        <v>40</v>
      </c>
      <c r="Q70" s="61"/>
    </row>
    <row r="71">
      <c r="A71" s="144" t="s">
        <v>86</v>
      </c>
      <c r="B71" s="126" t="s">
        <v>4</v>
      </c>
      <c r="C71" s="125">
        <v>0.0</v>
      </c>
      <c r="D71" s="126" t="s">
        <v>4</v>
      </c>
      <c r="E71" s="125">
        <v>0.0</v>
      </c>
      <c r="F71" s="129" t="s">
        <v>17</v>
      </c>
      <c r="G71" s="125">
        <v>8.0</v>
      </c>
      <c r="H71" s="137" t="s">
        <v>234</v>
      </c>
      <c r="I71" s="138"/>
      <c r="J71" s="129" t="s">
        <v>17</v>
      </c>
      <c r="K71" s="125">
        <v>8.0</v>
      </c>
      <c r="L71" s="129" t="s">
        <v>17</v>
      </c>
      <c r="M71" s="125">
        <v>8.0</v>
      </c>
      <c r="N71" s="129" t="s">
        <v>17</v>
      </c>
      <c r="O71" s="125">
        <v>8.0</v>
      </c>
      <c r="P71" s="122">
        <f t="shared" si="4"/>
        <v>32</v>
      </c>
      <c r="Q71" s="61"/>
    </row>
    <row r="73">
      <c r="A73" s="115" t="s">
        <v>247</v>
      </c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</row>
    <row r="74">
      <c r="A74" s="116" t="s">
        <v>65</v>
      </c>
      <c r="B74" s="140" t="s">
        <v>248</v>
      </c>
      <c r="C74" s="141"/>
      <c r="D74" s="140" t="s">
        <v>249</v>
      </c>
      <c r="E74" s="141"/>
      <c r="F74" s="140" t="s">
        <v>250</v>
      </c>
      <c r="G74" s="141"/>
      <c r="H74" s="140" t="s">
        <v>251</v>
      </c>
      <c r="I74" s="141"/>
      <c r="J74" s="140" t="s">
        <v>252</v>
      </c>
      <c r="K74" s="141"/>
      <c r="L74" s="140" t="s">
        <v>253</v>
      </c>
      <c r="M74" s="141"/>
      <c r="N74" s="140" t="s">
        <v>254</v>
      </c>
      <c r="O74" s="141"/>
      <c r="P74" s="117" t="s">
        <v>107</v>
      </c>
      <c r="Q74" s="119" t="s">
        <v>212</v>
      </c>
    </row>
    <row r="75">
      <c r="A75" s="142" t="s">
        <v>82</v>
      </c>
      <c r="B75" s="90" t="s">
        <v>51</v>
      </c>
      <c r="C75" s="125">
        <v>8.0</v>
      </c>
      <c r="D75" s="90" t="s">
        <v>51</v>
      </c>
      <c r="E75" s="125">
        <v>8.0</v>
      </c>
      <c r="F75" s="126" t="s">
        <v>4</v>
      </c>
      <c r="G75" s="125">
        <v>0.0</v>
      </c>
      <c r="H75" s="90" t="s">
        <v>51</v>
      </c>
      <c r="I75" s="125">
        <v>8.0</v>
      </c>
      <c r="J75" s="90" t="s">
        <v>51</v>
      </c>
      <c r="K75" s="125">
        <v>8.0</v>
      </c>
      <c r="L75" s="90" t="s">
        <v>51</v>
      </c>
      <c r="M75" s="125">
        <v>8.0</v>
      </c>
      <c r="N75" s="130" t="s">
        <v>4</v>
      </c>
      <c r="O75" s="125">
        <v>0.0</v>
      </c>
      <c r="P75" s="122">
        <v>40.0</v>
      </c>
      <c r="Q75" s="61"/>
    </row>
    <row r="76">
      <c r="A76" s="143" t="s">
        <v>90</v>
      </c>
      <c r="B76" s="130" t="s">
        <v>4</v>
      </c>
      <c r="C76" s="125">
        <v>0.0</v>
      </c>
      <c r="D76" s="90" t="s">
        <v>51</v>
      </c>
      <c r="E76" s="125">
        <v>8.0</v>
      </c>
      <c r="F76" s="90" t="s">
        <v>51</v>
      </c>
      <c r="G76" s="125">
        <v>8.0</v>
      </c>
      <c r="H76" s="90" t="s">
        <v>51</v>
      </c>
      <c r="I76" s="125">
        <v>8.0</v>
      </c>
      <c r="J76" s="90" t="s">
        <v>51</v>
      </c>
      <c r="K76" s="125">
        <v>8.0</v>
      </c>
      <c r="L76" s="90" t="s">
        <v>51</v>
      </c>
      <c r="M76" s="125">
        <v>8.0</v>
      </c>
      <c r="N76" s="126" t="s">
        <v>4</v>
      </c>
      <c r="O76" s="125">
        <v>0.0</v>
      </c>
      <c r="P76" s="122">
        <v>40.0</v>
      </c>
      <c r="Q76" s="61"/>
    </row>
    <row r="77">
      <c r="A77" s="143" t="s">
        <v>88</v>
      </c>
      <c r="B77" s="90" t="s">
        <v>36</v>
      </c>
      <c r="C77" s="125">
        <v>8.0</v>
      </c>
      <c r="D77" s="90" t="s">
        <v>36</v>
      </c>
      <c r="E77" s="125">
        <v>8.0</v>
      </c>
      <c r="F77" s="126" t="s">
        <v>4</v>
      </c>
      <c r="G77" s="125">
        <v>0.0</v>
      </c>
      <c r="H77" s="90" t="s">
        <v>36</v>
      </c>
      <c r="I77" s="125">
        <v>8.0</v>
      </c>
      <c r="J77" s="90" t="s">
        <v>36</v>
      </c>
      <c r="K77" s="125">
        <v>8.0</v>
      </c>
      <c r="L77" s="90" t="s">
        <v>36</v>
      </c>
      <c r="M77" s="125">
        <v>8.0</v>
      </c>
      <c r="N77" s="126" t="s">
        <v>4</v>
      </c>
      <c r="O77" s="125">
        <v>0.0</v>
      </c>
      <c r="P77" s="122">
        <v>40.0</v>
      </c>
      <c r="Q77" s="61"/>
    </row>
    <row r="78">
      <c r="A78" s="142" t="s">
        <v>70</v>
      </c>
      <c r="B78" s="126" t="s">
        <v>4</v>
      </c>
      <c r="C78" s="125">
        <v>0.0</v>
      </c>
      <c r="D78" s="90" t="s">
        <v>51</v>
      </c>
      <c r="E78" s="125">
        <v>8.0</v>
      </c>
      <c r="F78" s="90" t="s">
        <v>51</v>
      </c>
      <c r="G78" s="125">
        <v>8.0</v>
      </c>
      <c r="H78" s="90" t="s">
        <v>51</v>
      </c>
      <c r="I78" s="125">
        <v>8.0</v>
      </c>
      <c r="J78" s="90" t="s">
        <v>51</v>
      </c>
      <c r="K78" s="125">
        <v>8.0</v>
      </c>
      <c r="L78" s="90" t="s">
        <v>51</v>
      </c>
      <c r="M78" s="125">
        <v>8.0</v>
      </c>
      <c r="N78" s="126" t="s">
        <v>4</v>
      </c>
      <c r="O78" s="125">
        <v>0.0</v>
      </c>
      <c r="P78" s="122">
        <v>40.0</v>
      </c>
      <c r="Q78" s="61"/>
    </row>
    <row r="79">
      <c r="A79" s="142" t="s">
        <v>72</v>
      </c>
      <c r="B79" s="90" t="s">
        <v>255</v>
      </c>
      <c r="C79" s="125">
        <v>7.0</v>
      </c>
      <c r="D79" s="90" t="s">
        <v>51</v>
      </c>
      <c r="E79" s="125">
        <v>8.0</v>
      </c>
      <c r="F79" s="90" t="s">
        <v>51</v>
      </c>
      <c r="G79" s="125">
        <v>8.0</v>
      </c>
      <c r="H79" s="137" t="s">
        <v>234</v>
      </c>
      <c r="I79" s="138"/>
      <c r="J79" s="137" t="s">
        <v>234</v>
      </c>
      <c r="K79" s="138"/>
      <c r="L79" s="137" t="s">
        <v>234</v>
      </c>
      <c r="M79" s="138"/>
      <c r="N79" s="126" t="s">
        <v>4</v>
      </c>
      <c r="O79" s="125">
        <v>0.0</v>
      </c>
      <c r="P79" s="122">
        <v>40.0</v>
      </c>
      <c r="Q79" s="77" t="s">
        <v>256</v>
      </c>
    </row>
    <row r="80">
      <c r="A80" s="142" t="s">
        <v>96</v>
      </c>
      <c r="B80" s="90" t="s">
        <v>51</v>
      </c>
      <c r="C80" s="125">
        <v>8.0</v>
      </c>
      <c r="D80" s="90" t="s">
        <v>51</v>
      </c>
      <c r="E80" s="125">
        <v>8.0</v>
      </c>
      <c r="F80" s="126" t="s">
        <v>4</v>
      </c>
      <c r="G80" s="125">
        <v>0.0</v>
      </c>
      <c r="H80" s="90" t="s">
        <v>51</v>
      </c>
      <c r="I80" s="125">
        <v>8.0</v>
      </c>
      <c r="J80" s="90" t="s">
        <v>51</v>
      </c>
      <c r="K80" s="125">
        <v>8.0</v>
      </c>
      <c r="L80" s="90" t="s">
        <v>51</v>
      </c>
      <c r="M80" s="125">
        <v>8.0</v>
      </c>
      <c r="N80" s="130" t="s">
        <v>4</v>
      </c>
      <c r="O80" s="125">
        <v>0.0</v>
      </c>
      <c r="P80" s="122">
        <v>40.0</v>
      </c>
      <c r="Q80" s="61"/>
    </row>
    <row r="81">
      <c r="A81" s="142" t="s">
        <v>92</v>
      </c>
      <c r="B81" s="137" t="s">
        <v>234</v>
      </c>
      <c r="C81" s="138"/>
      <c r="D81" s="130" t="s">
        <v>4</v>
      </c>
      <c r="E81" s="125">
        <v>0.0</v>
      </c>
      <c r="F81" s="137" t="s">
        <v>234</v>
      </c>
      <c r="G81" s="138"/>
      <c r="H81" s="145" t="s">
        <v>164</v>
      </c>
      <c r="I81" s="125">
        <v>8.0</v>
      </c>
      <c r="J81" s="90" t="s">
        <v>51</v>
      </c>
      <c r="K81" s="125">
        <v>8.0</v>
      </c>
      <c r="L81" s="90" t="s">
        <v>51</v>
      </c>
      <c r="M81" s="125">
        <v>8.0</v>
      </c>
      <c r="N81" s="126" t="s">
        <v>4</v>
      </c>
      <c r="O81" s="125">
        <v>0.0</v>
      </c>
      <c r="P81" s="122">
        <v>40.0</v>
      </c>
      <c r="Q81" s="77" t="s">
        <v>257</v>
      </c>
    </row>
    <row r="82">
      <c r="A82" s="144" t="s">
        <v>76</v>
      </c>
      <c r="B82" s="146" t="s">
        <v>4</v>
      </c>
      <c r="C82" s="128">
        <v>0.0</v>
      </c>
      <c r="D82" s="146" t="s">
        <v>4</v>
      </c>
      <c r="E82" s="128">
        <v>0.0</v>
      </c>
      <c r="F82" s="127" t="s">
        <v>51</v>
      </c>
      <c r="G82" s="128">
        <v>8.0</v>
      </c>
      <c r="H82" s="127" t="s">
        <v>51</v>
      </c>
      <c r="I82" s="128">
        <v>8.0</v>
      </c>
      <c r="J82" s="127" t="s">
        <v>51</v>
      </c>
      <c r="K82" s="128">
        <v>8.0</v>
      </c>
      <c r="L82" s="127" t="s">
        <v>51</v>
      </c>
      <c r="M82" s="128">
        <v>8.0</v>
      </c>
      <c r="N82" s="127" t="s">
        <v>51</v>
      </c>
      <c r="O82" s="128">
        <v>8.0</v>
      </c>
      <c r="P82" s="122">
        <v>40.0</v>
      </c>
      <c r="Q82" s="61"/>
    </row>
    <row r="83">
      <c r="A83" s="142" t="s">
        <v>74</v>
      </c>
      <c r="B83" s="126" t="s">
        <v>4</v>
      </c>
      <c r="C83" s="125">
        <v>0.0</v>
      </c>
      <c r="D83" s="129" t="s">
        <v>17</v>
      </c>
      <c r="E83" s="125">
        <v>8.0</v>
      </c>
      <c r="F83" s="129" t="s">
        <v>17</v>
      </c>
      <c r="G83" s="125">
        <v>8.0</v>
      </c>
      <c r="H83" s="129" t="s">
        <v>17</v>
      </c>
      <c r="I83" s="125">
        <v>8.0</v>
      </c>
      <c r="J83" s="129" t="s">
        <v>17</v>
      </c>
      <c r="K83" s="125">
        <v>8.0</v>
      </c>
      <c r="L83" s="129" t="s">
        <v>17</v>
      </c>
      <c r="M83" s="125">
        <v>8.0</v>
      </c>
      <c r="N83" s="126" t="s">
        <v>4</v>
      </c>
      <c r="O83" s="125">
        <v>0.0</v>
      </c>
      <c r="P83" s="122">
        <v>40.0</v>
      </c>
      <c r="Q83" s="61"/>
    </row>
    <row r="84">
      <c r="A84" s="142" t="s">
        <v>84</v>
      </c>
      <c r="B84" s="90" t="s">
        <v>51</v>
      </c>
      <c r="C84" s="125">
        <v>8.0</v>
      </c>
      <c r="D84" s="90" t="s">
        <v>51</v>
      </c>
      <c r="E84" s="125">
        <v>8.0</v>
      </c>
      <c r="F84" s="126" t="s">
        <v>4</v>
      </c>
      <c r="G84" s="125">
        <v>0.0</v>
      </c>
      <c r="H84" s="90" t="s">
        <v>51</v>
      </c>
      <c r="I84" s="125">
        <v>8.0</v>
      </c>
      <c r="J84" s="90" t="s">
        <v>51</v>
      </c>
      <c r="K84" s="125">
        <v>8.0</v>
      </c>
      <c r="L84" s="90" t="s">
        <v>51</v>
      </c>
      <c r="M84" s="125">
        <v>8.0</v>
      </c>
      <c r="N84" s="126" t="s">
        <v>4</v>
      </c>
      <c r="O84" s="125">
        <v>0.0</v>
      </c>
      <c r="P84" s="122">
        <v>40.0</v>
      </c>
      <c r="Q84" s="61"/>
    </row>
    <row r="85">
      <c r="A85" s="142" t="s">
        <v>98</v>
      </c>
      <c r="B85" s="130" t="s">
        <v>4</v>
      </c>
      <c r="C85" s="125">
        <v>0.0</v>
      </c>
      <c r="D85" s="90" t="s">
        <v>51</v>
      </c>
      <c r="E85" s="125">
        <v>8.0</v>
      </c>
      <c r="F85" s="137" t="s">
        <v>234</v>
      </c>
      <c r="G85" s="138"/>
      <c r="H85" s="90" t="s">
        <v>51</v>
      </c>
      <c r="I85" s="125">
        <v>8.0</v>
      </c>
      <c r="J85" s="90" t="s">
        <v>51</v>
      </c>
      <c r="K85" s="125">
        <v>8.0</v>
      </c>
      <c r="L85" s="90" t="s">
        <v>51</v>
      </c>
      <c r="M85" s="125">
        <v>8.0</v>
      </c>
      <c r="N85" s="130" t="s">
        <v>4</v>
      </c>
      <c r="O85" s="125">
        <v>0.0</v>
      </c>
      <c r="P85" s="122">
        <v>40.0</v>
      </c>
      <c r="Q85" s="61"/>
    </row>
    <row r="86">
      <c r="A86" s="142" t="s">
        <v>80</v>
      </c>
      <c r="B86" s="90" t="s">
        <v>36</v>
      </c>
      <c r="C86" s="125">
        <v>8.0</v>
      </c>
      <c r="D86" s="90" t="s">
        <v>36</v>
      </c>
      <c r="E86" s="125">
        <v>8.0</v>
      </c>
      <c r="F86" s="126" t="s">
        <v>4</v>
      </c>
      <c r="G86" s="125">
        <v>0.0</v>
      </c>
      <c r="H86" s="90" t="s">
        <v>36</v>
      </c>
      <c r="I86" s="125">
        <v>8.0</v>
      </c>
      <c r="J86" s="90" t="s">
        <v>36</v>
      </c>
      <c r="K86" s="125">
        <v>8.0</v>
      </c>
      <c r="L86" s="90" t="s">
        <v>36</v>
      </c>
      <c r="M86" s="125">
        <v>8.0</v>
      </c>
      <c r="N86" s="130" t="s">
        <v>4</v>
      </c>
      <c r="O86" s="125">
        <v>0.0</v>
      </c>
      <c r="P86" s="122">
        <v>40.0</v>
      </c>
      <c r="Q86" s="61"/>
    </row>
    <row r="87">
      <c r="A87" s="143" t="s">
        <v>78</v>
      </c>
      <c r="B87" s="90" t="s">
        <v>51</v>
      </c>
      <c r="C87" s="125">
        <v>8.0</v>
      </c>
      <c r="D87" s="126" t="s">
        <v>4</v>
      </c>
      <c r="E87" s="125">
        <v>0.0</v>
      </c>
      <c r="F87" s="90" t="s">
        <v>51</v>
      </c>
      <c r="G87" s="125">
        <v>8.0</v>
      </c>
      <c r="H87" s="90" t="s">
        <v>51</v>
      </c>
      <c r="I87" s="125">
        <v>8.0</v>
      </c>
      <c r="J87" s="90" t="s">
        <v>51</v>
      </c>
      <c r="K87" s="125">
        <v>8.0</v>
      </c>
      <c r="L87" s="90" t="s">
        <v>51</v>
      </c>
      <c r="M87" s="125">
        <v>8.0</v>
      </c>
      <c r="N87" s="126" t="s">
        <v>4</v>
      </c>
      <c r="O87" s="125">
        <v>0.0</v>
      </c>
      <c r="P87" s="122">
        <v>40.0</v>
      </c>
      <c r="Q87" s="61"/>
    </row>
    <row r="88">
      <c r="A88" s="142" t="s">
        <v>94</v>
      </c>
      <c r="B88" s="90" t="s">
        <v>36</v>
      </c>
      <c r="C88" s="125">
        <v>8.0</v>
      </c>
      <c r="D88" s="126" t="s">
        <v>4</v>
      </c>
      <c r="E88" s="125">
        <v>0.0</v>
      </c>
      <c r="F88" s="90" t="s">
        <v>36</v>
      </c>
      <c r="G88" s="125">
        <v>8.0</v>
      </c>
      <c r="H88" s="90" t="s">
        <v>36</v>
      </c>
      <c r="I88" s="125">
        <v>8.0</v>
      </c>
      <c r="J88" s="90" t="s">
        <v>36</v>
      </c>
      <c r="K88" s="125">
        <v>8.0</v>
      </c>
      <c r="L88" s="90" t="s">
        <v>36</v>
      </c>
      <c r="M88" s="125">
        <v>8.0</v>
      </c>
      <c r="N88" s="126" t="s">
        <v>4</v>
      </c>
      <c r="O88" s="125">
        <v>0.0</v>
      </c>
      <c r="P88" s="122">
        <v>40.0</v>
      </c>
      <c r="Q88" s="61"/>
    </row>
    <row r="89">
      <c r="A89" s="144" t="s">
        <v>86</v>
      </c>
      <c r="B89" s="126" t="s">
        <v>4</v>
      </c>
      <c r="C89" s="125">
        <v>0.0</v>
      </c>
      <c r="D89" s="126" t="s">
        <v>4</v>
      </c>
      <c r="E89" s="125">
        <v>0.0</v>
      </c>
      <c r="F89" s="129" t="s">
        <v>17</v>
      </c>
      <c r="G89" s="125">
        <v>8.0</v>
      </c>
      <c r="H89" s="129" t="s">
        <v>17</v>
      </c>
      <c r="I89" s="125">
        <v>8.0</v>
      </c>
      <c r="J89" s="129" t="s">
        <v>17</v>
      </c>
      <c r="K89" s="125">
        <v>8.0</v>
      </c>
      <c r="L89" s="129" t="s">
        <v>17</v>
      </c>
      <c r="M89" s="125">
        <v>8.0</v>
      </c>
      <c r="N89" s="129" t="s">
        <v>17</v>
      </c>
      <c r="O89" s="125">
        <v>8.0</v>
      </c>
      <c r="P89" s="122">
        <v>40.0</v>
      </c>
      <c r="Q89" s="6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4.86"/>
    <col customWidth="1" min="3" max="3" width="2.14"/>
    <col customWidth="1" min="4" max="4" width="24.86"/>
    <col customWidth="1" min="5" max="5" width="2.14"/>
    <col customWidth="1" min="6" max="6" width="24.86"/>
    <col customWidth="1" min="7" max="7" width="2.14"/>
    <col customWidth="1" min="8" max="8" width="24.86"/>
    <col customWidth="1" min="9" max="9" width="2.14"/>
    <col customWidth="1" min="10" max="10" width="24.86"/>
    <col customWidth="1" min="11" max="11" width="2.14"/>
    <col customWidth="1" min="12" max="12" width="24.86"/>
    <col customWidth="1" min="13" max="13" width="2.14"/>
    <col customWidth="1" min="14" max="14" width="24.86"/>
    <col customWidth="1" min="15" max="15" width="2.14"/>
    <col customWidth="1" min="17" max="17" width="36.0"/>
  </cols>
  <sheetData>
    <row r="1">
      <c r="A1" s="115" t="s">
        <v>258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>
      <c r="A2" s="116" t="s">
        <v>65</v>
      </c>
      <c r="B2" s="147">
        <v>46055.0</v>
      </c>
      <c r="C2" s="118"/>
      <c r="D2" s="147">
        <v>46056.0</v>
      </c>
      <c r="E2" s="118"/>
      <c r="F2" s="147">
        <v>46057.0</v>
      </c>
      <c r="G2" s="118"/>
      <c r="H2" s="147">
        <v>46058.0</v>
      </c>
      <c r="I2" s="118"/>
      <c r="J2" s="147">
        <v>46059.0</v>
      </c>
      <c r="K2" s="118"/>
      <c r="L2" s="147">
        <v>46060.0</v>
      </c>
      <c r="M2" s="118"/>
      <c r="N2" s="147">
        <v>46061.0</v>
      </c>
      <c r="O2" s="118"/>
      <c r="P2" s="117" t="s">
        <v>107</v>
      </c>
      <c r="Q2" s="119" t="s">
        <v>212</v>
      </c>
    </row>
    <row r="3">
      <c r="A3" s="120" t="s">
        <v>82</v>
      </c>
      <c r="B3" s="148" t="s">
        <v>51</v>
      </c>
      <c r="C3" s="96">
        <v>8.0</v>
      </c>
      <c r="D3" s="96" t="s">
        <v>51</v>
      </c>
      <c r="E3" s="96">
        <v>8.0</v>
      </c>
      <c r="F3" s="112" t="s">
        <v>4</v>
      </c>
      <c r="G3" s="96">
        <v>0.0</v>
      </c>
      <c r="H3" s="96" t="s">
        <v>51</v>
      </c>
      <c r="I3" s="96">
        <v>8.0</v>
      </c>
      <c r="J3" s="96" t="s">
        <v>51</v>
      </c>
      <c r="K3" s="96">
        <v>8.0</v>
      </c>
      <c r="L3" s="96" t="s">
        <v>51</v>
      </c>
      <c r="M3" s="96">
        <v>8.0</v>
      </c>
      <c r="N3" s="112" t="s">
        <v>4</v>
      </c>
      <c r="O3" s="96">
        <v>0.0</v>
      </c>
      <c r="P3" s="122">
        <f t="shared" ref="P3:P17" si="1">C3+E3+G3+I3+K3+M3+O3</f>
        <v>40</v>
      </c>
      <c r="Q3" s="77"/>
    </row>
    <row r="4">
      <c r="A4" s="123" t="s">
        <v>90</v>
      </c>
      <c r="B4" s="112" t="s">
        <v>4</v>
      </c>
      <c r="C4" s="96">
        <v>0.0</v>
      </c>
      <c r="D4" s="96" t="s">
        <v>51</v>
      </c>
      <c r="E4" s="96">
        <v>8.0</v>
      </c>
      <c r="F4" s="96" t="s">
        <v>51</v>
      </c>
      <c r="G4" s="96">
        <v>8.0</v>
      </c>
      <c r="H4" s="96" t="s">
        <v>51</v>
      </c>
      <c r="I4" s="96">
        <v>8.0</v>
      </c>
      <c r="J4" s="96" t="s">
        <v>51</v>
      </c>
      <c r="K4" s="96">
        <v>8.0</v>
      </c>
      <c r="L4" s="96" t="s">
        <v>51</v>
      </c>
      <c r="M4" s="96">
        <v>8.0</v>
      </c>
      <c r="N4" s="112" t="s">
        <v>4</v>
      </c>
      <c r="O4" s="96">
        <v>0.0</v>
      </c>
      <c r="P4" s="122">
        <f t="shared" si="1"/>
        <v>40</v>
      </c>
      <c r="Q4" s="61"/>
    </row>
    <row r="5">
      <c r="A5" s="123" t="s">
        <v>88</v>
      </c>
      <c r="B5" s="96" t="s">
        <v>36</v>
      </c>
      <c r="C5" s="96">
        <v>8.0</v>
      </c>
      <c r="D5" s="96" t="s">
        <v>36</v>
      </c>
      <c r="E5" s="96">
        <v>8.0</v>
      </c>
      <c r="F5" s="112" t="s">
        <v>4</v>
      </c>
      <c r="G5" s="96">
        <v>0.0</v>
      </c>
      <c r="H5" s="149" t="s">
        <v>234</v>
      </c>
      <c r="I5" s="150">
        <v>0.0</v>
      </c>
      <c r="J5" s="96" t="s">
        <v>36</v>
      </c>
      <c r="K5" s="96">
        <v>8.0</v>
      </c>
      <c r="L5" s="96" t="s">
        <v>36</v>
      </c>
      <c r="M5" s="96">
        <v>8.0</v>
      </c>
      <c r="N5" s="112" t="s">
        <v>4</v>
      </c>
      <c r="O5" s="96">
        <v>0.0</v>
      </c>
      <c r="P5" s="122">
        <f t="shared" si="1"/>
        <v>32</v>
      </c>
      <c r="Q5" s="61"/>
    </row>
    <row r="6">
      <c r="A6" s="120" t="s">
        <v>70</v>
      </c>
      <c r="B6" s="96" t="s">
        <v>51</v>
      </c>
      <c r="C6" s="96">
        <v>8.0</v>
      </c>
      <c r="D6" s="96" t="s">
        <v>51</v>
      </c>
      <c r="E6" s="96">
        <v>8.0</v>
      </c>
      <c r="F6" s="112" t="s">
        <v>4</v>
      </c>
      <c r="G6" s="96">
        <v>0.0</v>
      </c>
      <c r="H6" s="96" t="s">
        <v>51</v>
      </c>
      <c r="I6" s="96">
        <v>8.0</v>
      </c>
      <c r="J6" s="96" t="s">
        <v>51</v>
      </c>
      <c r="K6" s="96">
        <v>8.0</v>
      </c>
      <c r="L6" s="96" t="s">
        <v>51</v>
      </c>
      <c r="M6" s="96">
        <v>8.0</v>
      </c>
      <c r="N6" s="112" t="s">
        <v>4</v>
      </c>
      <c r="O6" s="96">
        <v>0.0</v>
      </c>
      <c r="P6" s="122">
        <f t="shared" si="1"/>
        <v>40</v>
      </c>
      <c r="Q6" s="61"/>
    </row>
    <row r="7">
      <c r="A7" s="120" t="s">
        <v>72</v>
      </c>
      <c r="B7" s="112" t="s">
        <v>4</v>
      </c>
      <c r="C7" s="96">
        <v>0.0</v>
      </c>
      <c r="D7" s="96" t="s">
        <v>51</v>
      </c>
      <c r="E7" s="96">
        <v>8.0</v>
      </c>
      <c r="F7" s="151" t="s">
        <v>51</v>
      </c>
      <c r="G7" s="151">
        <v>8.0</v>
      </c>
      <c r="H7" s="96" t="s">
        <v>51</v>
      </c>
      <c r="I7" s="96">
        <v>8.0</v>
      </c>
      <c r="J7" s="96" t="s">
        <v>51</v>
      </c>
      <c r="K7" s="96">
        <v>8.0</v>
      </c>
      <c r="L7" s="96" t="s">
        <v>51</v>
      </c>
      <c r="M7" s="96">
        <v>8.0</v>
      </c>
      <c r="N7" s="112" t="s">
        <v>4</v>
      </c>
      <c r="O7" s="96">
        <v>0.0</v>
      </c>
      <c r="P7" s="122">
        <f t="shared" si="1"/>
        <v>40</v>
      </c>
      <c r="Q7" s="77" t="s">
        <v>259</v>
      </c>
    </row>
    <row r="8">
      <c r="A8" s="120" t="s">
        <v>96</v>
      </c>
      <c r="B8" s="96" t="s">
        <v>51</v>
      </c>
      <c r="C8" s="96">
        <v>8.0</v>
      </c>
      <c r="D8" s="96" t="s">
        <v>51</v>
      </c>
      <c r="E8" s="96">
        <v>8.0</v>
      </c>
      <c r="F8" s="112" t="s">
        <v>4</v>
      </c>
      <c r="G8" s="96">
        <v>0.0</v>
      </c>
      <c r="H8" s="96" t="s">
        <v>51</v>
      </c>
      <c r="I8" s="96">
        <v>8.0</v>
      </c>
      <c r="J8" s="96" t="s">
        <v>51</v>
      </c>
      <c r="K8" s="96">
        <v>8.0</v>
      </c>
      <c r="L8" s="96" t="s">
        <v>51</v>
      </c>
      <c r="M8" s="96">
        <v>8.0</v>
      </c>
      <c r="N8" s="112" t="s">
        <v>4</v>
      </c>
      <c r="O8" s="96">
        <v>0.0</v>
      </c>
      <c r="P8" s="122">
        <f t="shared" si="1"/>
        <v>40</v>
      </c>
      <c r="Q8" s="61"/>
    </row>
    <row r="9">
      <c r="A9" s="120" t="s">
        <v>92</v>
      </c>
      <c r="B9" s="96" t="s">
        <v>51</v>
      </c>
      <c r="C9" s="96">
        <v>8.0</v>
      </c>
      <c r="D9" s="112" t="s">
        <v>4</v>
      </c>
      <c r="E9" s="96">
        <v>0.0</v>
      </c>
      <c r="F9" s="96" t="s">
        <v>51</v>
      </c>
      <c r="G9" s="96">
        <v>8.0</v>
      </c>
      <c r="H9" s="96" t="s">
        <v>51</v>
      </c>
      <c r="I9" s="96">
        <v>8.0</v>
      </c>
      <c r="J9" s="96" t="s">
        <v>51</v>
      </c>
      <c r="K9" s="96">
        <v>8.0</v>
      </c>
      <c r="L9" s="96" t="s">
        <v>51</v>
      </c>
      <c r="M9" s="96">
        <v>8.0</v>
      </c>
      <c r="N9" s="112" t="s">
        <v>4</v>
      </c>
      <c r="O9" s="96">
        <v>0.0</v>
      </c>
      <c r="P9" s="122">
        <f t="shared" si="1"/>
        <v>40</v>
      </c>
      <c r="Q9" s="77"/>
    </row>
    <row r="10">
      <c r="A10" s="124" t="s">
        <v>76</v>
      </c>
      <c r="B10" s="112" t="s">
        <v>4</v>
      </c>
      <c r="C10" s="96">
        <v>0.0</v>
      </c>
      <c r="D10" s="112" t="s">
        <v>4</v>
      </c>
      <c r="E10" s="96">
        <v>0.0</v>
      </c>
      <c r="F10" s="96" t="s">
        <v>51</v>
      </c>
      <c r="G10" s="96">
        <v>8.0</v>
      </c>
      <c r="H10" s="96" t="s">
        <v>51</v>
      </c>
      <c r="I10" s="96">
        <v>8.0</v>
      </c>
      <c r="J10" s="96" t="s">
        <v>51</v>
      </c>
      <c r="K10" s="96">
        <v>8.0</v>
      </c>
      <c r="L10" s="96" t="s">
        <v>51</v>
      </c>
      <c r="M10" s="96">
        <v>8.0</v>
      </c>
      <c r="N10" s="96" t="s">
        <v>51</v>
      </c>
      <c r="O10" s="96">
        <v>8.0</v>
      </c>
      <c r="P10" s="122">
        <f t="shared" si="1"/>
        <v>40</v>
      </c>
      <c r="Q10" s="77" t="s">
        <v>260</v>
      </c>
    </row>
    <row r="11">
      <c r="A11" s="120" t="s">
        <v>74</v>
      </c>
      <c r="B11" s="112" t="s">
        <v>4</v>
      </c>
      <c r="C11" s="96">
        <v>0.0</v>
      </c>
      <c r="D11" s="96" t="s">
        <v>17</v>
      </c>
      <c r="E11" s="96">
        <v>8.0</v>
      </c>
      <c r="F11" s="96" t="s">
        <v>17</v>
      </c>
      <c r="G11" s="96">
        <v>8.0</v>
      </c>
      <c r="H11" s="152" t="s">
        <v>17</v>
      </c>
      <c r="I11" s="152">
        <v>8.0</v>
      </c>
      <c r="J11" s="96" t="s">
        <v>17</v>
      </c>
      <c r="K11" s="96">
        <v>8.0</v>
      </c>
      <c r="L11" s="96" t="s">
        <v>17</v>
      </c>
      <c r="M11" s="96">
        <v>8.0</v>
      </c>
      <c r="N11" s="112" t="s">
        <v>4</v>
      </c>
      <c r="O11" s="96">
        <v>0.0</v>
      </c>
      <c r="P11" s="122">
        <f t="shared" si="1"/>
        <v>40</v>
      </c>
      <c r="Q11" s="77" t="s">
        <v>261</v>
      </c>
    </row>
    <row r="12" ht="14.25" customHeight="1">
      <c r="A12" s="120" t="s">
        <v>84</v>
      </c>
      <c r="B12" s="96" t="s">
        <v>51</v>
      </c>
      <c r="C12" s="96">
        <v>8.0</v>
      </c>
      <c r="D12" s="96" t="s">
        <v>51</v>
      </c>
      <c r="E12" s="96">
        <v>8.0</v>
      </c>
      <c r="F12" s="112" t="s">
        <v>4</v>
      </c>
      <c r="G12" s="96">
        <v>0.0</v>
      </c>
      <c r="H12" s="149" t="s">
        <v>234</v>
      </c>
      <c r="I12" s="150">
        <v>0.0</v>
      </c>
      <c r="J12" s="149" t="s">
        <v>234</v>
      </c>
      <c r="K12" s="150">
        <v>0.0</v>
      </c>
      <c r="L12" s="149" t="s">
        <v>234</v>
      </c>
      <c r="M12" s="150">
        <v>0.0</v>
      </c>
      <c r="N12" s="112" t="s">
        <v>4</v>
      </c>
      <c r="O12" s="96">
        <v>0.0</v>
      </c>
      <c r="P12" s="122">
        <f t="shared" si="1"/>
        <v>16</v>
      </c>
      <c r="Q12" s="77"/>
    </row>
    <row r="13">
      <c r="A13" s="120" t="s">
        <v>98</v>
      </c>
      <c r="B13" s="112" t="s">
        <v>4</v>
      </c>
      <c r="C13" s="96">
        <v>0.0</v>
      </c>
      <c r="D13" s="96" t="s">
        <v>51</v>
      </c>
      <c r="E13" s="96">
        <v>8.0</v>
      </c>
      <c r="F13" s="96" t="s">
        <v>51</v>
      </c>
      <c r="G13" s="96">
        <v>8.0</v>
      </c>
      <c r="H13" s="96" t="s">
        <v>51</v>
      </c>
      <c r="I13" s="96">
        <v>8.0</v>
      </c>
      <c r="J13" s="96" t="s">
        <v>51</v>
      </c>
      <c r="K13" s="96">
        <v>8.0</v>
      </c>
      <c r="L13" s="96" t="s">
        <v>51</v>
      </c>
      <c r="M13" s="96">
        <v>8.0</v>
      </c>
      <c r="N13" s="112" t="s">
        <v>4</v>
      </c>
      <c r="O13" s="96">
        <v>0.0</v>
      </c>
      <c r="P13" s="122">
        <f t="shared" si="1"/>
        <v>40</v>
      </c>
      <c r="Q13" s="61"/>
    </row>
    <row r="14">
      <c r="A14" s="153" t="s">
        <v>80</v>
      </c>
      <c r="B14" s="96" t="s">
        <v>36</v>
      </c>
      <c r="C14" s="96">
        <v>8.0</v>
      </c>
      <c r="D14" s="96" t="s">
        <v>36</v>
      </c>
      <c r="E14" s="96">
        <v>8.0</v>
      </c>
      <c r="F14" s="112" t="s">
        <v>4</v>
      </c>
      <c r="G14" s="96">
        <v>0.0</v>
      </c>
      <c r="H14" s="96" t="s">
        <v>36</v>
      </c>
      <c r="I14" s="96">
        <v>8.0</v>
      </c>
      <c r="J14" s="96" t="s">
        <v>36</v>
      </c>
      <c r="K14" s="96">
        <v>8.0</v>
      </c>
      <c r="L14" s="96" t="s">
        <v>36</v>
      </c>
      <c r="M14" s="96">
        <v>8.0</v>
      </c>
      <c r="N14" s="112" t="s">
        <v>4</v>
      </c>
      <c r="O14" s="96">
        <v>0.0</v>
      </c>
      <c r="P14" s="122">
        <f t="shared" si="1"/>
        <v>40</v>
      </c>
      <c r="Q14" s="61"/>
    </row>
    <row r="15">
      <c r="A15" s="123" t="s">
        <v>78</v>
      </c>
      <c r="B15" s="96" t="s">
        <v>51</v>
      </c>
      <c r="C15" s="96">
        <v>8.0</v>
      </c>
      <c r="D15" s="112" t="s">
        <v>4</v>
      </c>
      <c r="E15" s="96">
        <v>0.0</v>
      </c>
      <c r="F15" s="96" t="s">
        <v>51</v>
      </c>
      <c r="G15" s="96">
        <v>8.0</v>
      </c>
      <c r="H15" s="96" t="s">
        <v>51</v>
      </c>
      <c r="I15" s="96">
        <v>8.0</v>
      </c>
      <c r="J15" s="96" t="s">
        <v>51</v>
      </c>
      <c r="K15" s="96">
        <v>8.0</v>
      </c>
      <c r="L15" s="96" t="s">
        <v>51</v>
      </c>
      <c r="M15" s="96">
        <v>8.0</v>
      </c>
      <c r="N15" s="112" t="s">
        <v>4</v>
      </c>
      <c r="O15" s="96">
        <v>0.0</v>
      </c>
      <c r="P15" s="122">
        <f t="shared" si="1"/>
        <v>40</v>
      </c>
      <c r="Q15" s="61"/>
    </row>
    <row r="16">
      <c r="A16" s="120" t="s">
        <v>94</v>
      </c>
      <c r="B16" s="149" t="s">
        <v>234</v>
      </c>
      <c r="C16" s="154"/>
      <c r="D16" s="112" t="s">
        <v>4</v>
      </c>
      <c r="E16" s="96">
        <v>0.0</v>
      </c>
      <c r="F16" s="149" t="s">
        <v>234</v>
      </c>
      <c r="G16" s="150">
        <v>0.0</v>
      </c>
      <c r="H16" s="96" t="s">
        <v>36</v>
      </c>
      <c r="I16" s="96">
        <v>8.0</v>
      </c>
      <c r="J16" s="96" t="s">
        <v>36</v>
      </c>
      <c r="K16" s="96">
        <v>8.0</v>
      </c>
      <c r="L16" s="96" t="s">
        <v>36</v>
      </c>
      <c r="M16" s="96">
        <v>8.0</v>
      </c>
      <c r="N16" s="112" t="s">
        <v>4</v>
      </c>
      <c r="O16" s="96">
        <v>0.0</v>
      </c>
      <c r="P16" s="122">
        <f t="shared" si="1"/>
        <v>24</v>
      </c>
      <c r="Q16" s="61"/>
    </row>
    <row r="17">
      <c r="A17" s="124" t="s">
        <v>86</v>
      </c>
      <c r="B17" s="112" t="s">
        <v>4</v>
      </c>
      <c r="C17" s="96">
        <v>0.0</v>
      </c>
      <c r="D17" s="112" t="s">
        <v>4</v>
      </c>
      <c r="E17" s="96">
        <v>0.0</v>
      </c>
      <c r="F17" s="96" t="s">
        <v>17</v>
      </c>
      <c r="G17" s="96">
        <v>8.0</v>
      </c>
      <c r="H17" s="149" t="s">
        <v>234</v>
      </c>
      <c r="I17" s="150">
        <v>0.0</v>
      </c>
      <c r="J17" s="96" t="s">
        <v>17</v>
      </c>
      <c r="K17" s="96">
        <v>8.0</v>
      </c>
      <c r="L17" s="96" t="s">
        <v>17</v>
      </c>
      <c r="M17" s="96">
        <v>8.0</v>
      </c>
      <c r="N17" s="96" t="s">
        <v>17</v>
      </c>
      <c r="O17" s="96">
        <v>8.0</v>
      </c>
      <c r="P17" s="122">
        <f t="shared" si="1"/>
        <v>32</v>
      </c>
      <c r="Q17" s="61"/>
    </row>
    <row r="19">
      <c r="A19" s="115" t="s">
        <v>262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</row>
    <row r="20">
      <c r="A20" s="116" t="s">
        <v>65</v>
      </c>
      <c r="B20" s="147">
        <v>46062.0</v>
      </c>
      <c r="C20" s="118"/>
      <c r="D20" s="147">
        <v>46063.0</v>
      </c>
      <c r="E20" s="118"/>
      <c r="F20" s="117" t="s">
        <v>263</v>
      </c>
      <c r="G20" s="118"/>
      <c r="H20" s="147">
        <v>46065.0</v>
      </c>
      <c r="I20" s="118"/>
      <c r="J20" s="147">
        <v>46066.0</v>
      </c>
      <c r="K20" s="118"/>
      <c r="L20" s="147">
        <v>46067.0</v>
      </c>
      <c r="M20" s="118"/>
      <c r="N20" s="147">
        <v>46068.0</v>
      </c>
      <c r="O20" s="118"/>
      <c r="P20" s="117" t="s">
        <v>107</v>
      </c>
      <c r="Q20" s="119" t="s">
        <v>212</v>
      </c>
    </row>
    <row r="21">
      <c r="A21" s="120" t="s">
        <v>82</v>
      </c>
      <c r="B21" s="148" t="s">
        <v>51</v>
      </c>
      <c r="C21" s="96">
        <v>8.0</v>
      </c>
      <c r="D21" s="96" t="s">
        <v>51</v>
      </c>
      <c r="E21" s="96">
        <v>8.0</v>
      </c>
      <c r="F21" s="96" t="s">
        <v>51</v>
      </c>
      <c r="G21" s="96">
        <v>8.0</v>
      </c>
      <c r="H21" s="112" t="s">
        <v>4</v>
      </c>
      <c r="I21" s="96">
        <v>0.0</v>
      </c>
      <c r="J21" s="96" t="s">
        <v>51</v>
      </c>
      <c r="K21" s="96">
        <v>8.0</v>
      </c>
      <c r="L21" s="96" t="s">
        <v>51</v>
      </c>
      <c r="M21" s="96">
        <v>8.0</v>
      </c>
      <c r="N21" s="112" t="s">
        <v>4</v>
      </c>
      <c r="O21" s="96">
        <v>0.0</v>
      </c>
      <c r="P21" s="122">
        <f t="shared" ref="P21:P22" si="2">C3+E3+G3+I3+K3+M3+O3</f>
        <v>40</v>
      </c>
      <c r="Q21" s="77" t="s">
        <v>264</v>
      </c>
    </row>
    <row r="22">
      <c r="A22" s="123" t="s">
        <v>90</v>
      </c>
      <c r="B22" s="112" t="s">
        <v>4</v>
      </c>
      <c r="C22" s="96">
        <v>0.0</v>
      </c>
      <c r="D22" s="96" t="s">
        <v>51</v>
      </c>
      <c r="E22" s="96">
        <v>8.0</v>
      </c>
      <c r="F22" s="96" t="s">
        <v>51</v>
      </c>
      <c r="G22" s="96">
        <v>8.0</v>
      </c>
      <c r="H22" s="96" t="s">
        <v>51</v>
      </c>
      <c r="I22" s="96">
        <v>8.0</v>
      </c>
      <c r="J22" s="96" t="s">
        <v>51</v>
      </c>
      <c r="K22" s="96">
        <v>8.0</v>
      </c>
      <c r="L22" s="96" t="s">
        <v>51</v>
      </c>
      <c r="M22" s="96">
        <v>8.0</v>
      </c>
      <c r="N22" s="112" t="s">
        <v>4</v>
      </c>
      <c r="O22" s="96">
        <v>0.0</v>
      </c>
      <c r="P22" s="122">
        <f t="shared" si="2"/>
        <v>40</v>
      </c>
      <c r="Q22" s="61"/>
    </row>
    <row r="23">
      <c r="A23" s="123" t="s">
        <v>88</v>
      </c>
      <c r="B23" s="96" t="s">
        <v>36</v>
      </c>
      <c r="C23" s="96">
        <v>8.0</v>
      </c>
      <c r="D23" s="96" t="s">
        <v>36</v>
      </c>
      <c r="E23" s="96">
        <v>8.0</v>
      </c>
      <c r="F23" s="112" t="s">
        <v>4</v>
      </c>
      <c r="G23" s="96">
        <v>0.0</v>
      </c>
      <c r="H23" s="96" t="s">
        <v>36</v>
      </c>
      <c r="I23" s="96">
        <v>8.0</v>
      </c>
      <c r="J23" s="96" t="s">
        <v>36</v>
      </c>
      <c r="K23" s="96">
        <v>8.0</v>
      </c>
      <c r="L23" s="96" t="s">
        <v>36</v>
      </c>
      <c r="M23" s="96">
        <v>8.0</v>
      </c>
      <c r="N23" s="112" t="s">
        <v>4</v>
      </c>
      <c r="O23" s="96">
        <v>0.0</v>
      </c>
      <c r="P23" s="122">
        <f>C23+E23+I23+K23+M23+O23</f>
        <v>40</v>
      </c>
      <c r="Q23" s="61"/>
    </row>
    <row r="24">
      <c r="A24" s="120" t="s">
        <v>70</v>
      </c>
      <c r="B24" s="96" t="s">
        <v>51</v>
      </c>
      <c r="C24" s="96">
        <v>8.0</v>
      </c>
      <c r="D24" s="96" t="s">
        <v>51</v>
      </c>
      <c r="E24" s="96">
        <v>8.0</v>
      </c>
      <c r="F24" s="112" t="s">
        <v>4</v>
      </c>
      <c r="G24" s="96">
        <v>0.0</v>
      </c>
      <c r="H24" s="155" t="s">
        <v>51</v>
      </c>
      <c r="I24" s="155">
        <v>8.0</v>
      </c>
      <c r="J24" s="96" t="s">
        <v>51</v>
      </c>
      <c r="K24" s="96">
        <v>8.0</v>
      </c>
      <c r="L24" s="96" t="s">
        <v>51</v>
      </c>
      <c r="M24" s="96">
        <v>8.0</v>
      </c>
      <c r="N24" s="112" t="s">
        <v>4</v>
      </c>
      <c r="O24" s="96">
        <v>0.0</v>
      </c>
      <c r="P24" s="122">
        <f t="shared" ref="P24:P29" si="3">C6+E6+G6+I6+K6+M6+O6</f>
        <v>40</v>
      </c>
      <c r="Q24" s="77" t="s">
        <v>265</v>
      </c>
    </row>
    <row r="25">
      <c r="A25" s="120" t="s">
        <v>72</v>
      </c>
      <c r="B25" s="96" t="s">
        <v>51</v>
      </c>
      <c r="C25" s="96">
        <v>8.0</v>
      </c>
      <c r="D25" s="112" t="s">
        <v>4</v>
      </c>
      <c r="E25" s="96">
        <v>0.0</v>
      </c>
      <c r="F25" s="96" t="s">
        <v>51</v>
      </c>
      <c r="G25" s="96">
        <v>8.0</v>
      </c>
      <c r="H25" s="96" t="s">
        <v>51</v>
      </c>
      <c r="I25" s="96">
        <v>8.0</v>
      </c>
      <c r="J25" s="96" t="s">
        <v>51</v>
      </c>
      <c r="K25" s="96">
        <v>8.0</v>
      </c>
      <c r="L25" s="96" t="s">
        <v>51</v>
      </c>
      <c r="M25" s="96">
        <v>8.0</v>
      </c>
      <c r="N25" s="112" t="s">
        <v>4</v>
      </c>
      <c r="O25" s="96">
        <v>0.0</v>
      </c>
      <c r="P25" s="122">
        <f t="shared" si="3"/>
        <v>40</v>
      </c>
      <c r="Q25" s="61"/>
    </row>
    <row r="26">
      <c r="A26" s="120" t="s">
        <v>96</v>
      </c>
      <c r="B26" s="96" t="s">
        <v>51</v>
      </c>
      <c r="C26" s="96">
        <v>8.0</v>
      </c>
      <c r="D26" s="96" t="s">
        <v>51</v>
      </c>
      <c r="E26" s="96">
        <v>8.0</v>
      </c>
      <c r="F26" s="112" t="s">
        <v>4</v>
      </c>
      <c r="G26" s="96">
        <v>0.0</v>
      </c>
      <c r="H26" s="96" t="s">
        <v>266</v>
      </c>
      <c r="I26" s="96">
        <v>5.0</v>
      </c>
      <c r="J26" s="96" t="s">
        <v>51</v>
      </c>
      <c r="K26" s="96">
        <v>8.0</v>
      </c>
      <c r="L26" s="96" t="s">
        <v>51</v>
      </c>
      <c r="M26" s="96">
        <v>8.0</v>
      </c>
      <c r="N26" s="112" t="s">
        <v>4</v>
      </c>
      <c r="O26" s="96">
        <v>0.0</v>
      </c>
      <c r="P26" s="122">
        <f t="shared" si="3"/>
        <v>40</v>
      </c>
      <c r="Q26" s="61"/>
    </row>
    <row r="27">
      <c r="A27" s="120" t="s">
        <v>92</v>
      </c>
      <c r="B27" s="96" t="s">
        <v>51</v>
      </c>
      <c r="C27" s="96">
        <v>8.0</v>
      </c>
      <c r="D27" s="112" t="s">
        <v>4</v>
      </c>
      <c r="E27" s="96">
        <v>0.0</v>
      </c>
      <c r="F27" s="96" t="s">
        <v>51</v>
      </c>
      <c r="G27" s="96">
        <v>8.0</v>
      </c>
      <c r="H27" s="96" t="s">
        <v>51</v>
      </c>
      <c r="I27" s="96">
        <v>8.0</v>
      </c>
      <c r="J27" s="96" t="s">
        <v>51</v>
      </c>
      <c r="K27" s="96">
        <v>8.0</v>
      </c>
      <c r="L27" s="96" t="s">
        <v>51</v>
      </c>
      <c r="M27" s="96">
        <v>8.0</v>
      </c>
      <c r="N27" s="112" t="s">
        <v>4</v>
      </c>
      <c r="O27" s="96">
        <v>0.0</v>
      </c>
      <c r="P27" s="122">
        <f t="shared" si="3"/>
        <v>40</v>
      </c>
      <c r="Q27" s="77"/>
    </row>
    <row r="28">
      <c r="A28" s="124" t="s">
        <v>76</v>
      </c>
      <c r="B28" s="112" t="s">
        <v>4</v>
      </c>
      <c r="C28" s="96">
        <v>0.0</v>
      </c>
      <c r="D28" s="112" t="s">
        <v>4</v>
      </c>
      <c r="E28" s="96">
        <v>0.0</v>
      </c>
      <c r="F28" s="96" t="s">
        <v>51</v>
      </c>
      <c r="G28" s="96">
        <v>8.0</v>
      </c>
      <c r="H28" s="96" t="s">
        <v>51</v>
      </c>
      <c r="I28" s="96">
        <v>8.0</v>
      </c>
      <c r="J28" s="96" t="s">
        <v>51</v>
      </c>
      <c r="K28" s="96">
        <v>8.0</v>
      </c>
      <c r="L28" s="96" t="s">
        <v>51</v>
      </c>
      <c r="M28" s="96">
        <v>8.0</v>
      </c>
      <c r="N28" s="96" t="s">
        <v>51</v>
      </c>
      <c r="O28" s="96">
        <v>8.0</v>
      </c>
      <c r="P28" s="122">
        <f t="shared" si="3"/>
        <v>40</v>
      </c>
      <c r="Q28" s="61"/>
    </row>
    <row r="29">
      <c r="A29" s="120" t="s">
        <v>74</v>
      </c>
      <c r="B29" s="112" t="s">
        <v>4</v>
      </c>
      <c r="C29" s="96">
        <v>0.0</v>
      </c>
      <c r="D29" s="96" t="s">
        <v>17</v>
      </c>
      <c r="E29" s="96">
        <v>8.0</v>
      </c>
      <c r="F29" s="96" t="s">
        <v>17</v>
      </c>
      <c r="G29" s="96">
        <v>8.0</v>
      </c>
      <c r="H29" s="96" t="s">
        <v>17</v>
      </c>
      <c r="I29" s="96">
        <v>8.0</v>
      </c>
      <c r="J29" s="96" t="s">
        <v>17</v>
      </c>
      <c r="K29" s="96">
        <v>8.0</v>
      </c>
      <c r="L29" s="96" t="s">
        <v>17</v>
      </c>
      <c r="M29" s="96">
        <v>8.0</v>
      </c>
      <c r="N29" s="112" t="s">
        <v>4</v>
      </c>
      <c r="O29" s="96">
        <v>0.0</v>
      </c>
      <c r="P29" s="122">
        <f t="shared" si="3"/>
        <v>40</v>
      </c>
      <c r="Q29" s="61"/>
    </row>
    <row r="30">
      <c r="A30" s="120" t="s">
        <v>84</v>
      </c>
      <c r="B30" s="96" t="s">
        <v>51</v>
      </c>
      <c r="C30" s="96">
        <v>8.0</v>
      </c>
      <c r="D30" s="80" t="s">
        <v>267</v>
      </c>
      <c r="E30" s="80">
        <v>5.0</v>
      </c>
      <c r="F30" s="80" t="s">
        <v>267</v>
      </c>
      <c r="G30" s="80">
        <v>5.0</v>
      </c>
      <c r="H30" s="80" t="s">
        <v>268</v>
      </c>
      <c r="I30" s="80">
        <v>6.0</v>
      </c>
      <c r="J30" s="96" t="s">
        <v>51</v>
      </c>
      <c r="K30" s="96">
        <v>8.0</v>
      </c>
      <c r="L30" s="96" t="s">
        <v>51</v>
      </c>
      <c r="M30" s="96">
        <v>8.0</v>
      </c>
      <c r="N30" s="112" t="s">
        <v>4</v>
      </c>
      <c r="O30" s="96">
        <v>0.0</v>
      </c>
      <c r="P30" s="122">
        <f>C30+E30+G30+I30+K30+M30+O30</f>
        <v>40</v>
      </c>
      <c r="Q30" s="77"/>
    </row>
    <row r="31">
      <c r="A31" s="120" t="s">
        <v>98</v>
      </c>
      <c r="B31" s="112" t="s">
        <v>4</v>
      </c>
      <c r="C31" s="96">
        <v>0.0</v>
      </c>
      <c r="D31" s="96" t="s">
        <v>51</v>
      </c>
      <c r="E31" s="96">
        <v>8.0</v>
      </c>
      <c r="F31" s="96" t="s">
        <v>51</v>
      </c>
      <c r="G31" s="96">
        <v>8.0</v>
      </c>
      <c r="H31" s="96" t="s">
        <v>51</v>
      </c>
      <c r="I31" s="96">
        <v>8.0</v>
      </c>
      <c r="J31" s="96" t="s">
        <v>51</v>
      </c>
      <c r="K31" s="96">
        <v>8.0</v>
      </c>
      <c r="L31" s="96" t="s">
        <v>51</v>
      </c>
      <c r="M31" s="96">
        <v>8.0</v>
      </c>
      <c r="N31" s="112" t="s">
        <v>4</v>
      </c>
      <c r="O31" s="96">
        <v>0.0</v>
      </c>
      <c r="P31" s="122">
        <f t="shared" ref="P31:P33" si="4">C13+E13+G13+I13+K13+M13+O13</f>
        <v>40</v>
      </c>
      <c r="Q31" s="61"/>
    </row>
    <row r="32">
      <c r="A32" s="153" t="s">
        <v>80</v>
      </c>
      <c r="B32" s="96" t="s">
        <v>36</v>
      </c>
      <c r="C32" s="96">
        <v>8.0</v>
      </c>
      <c r="D32" s="80" t="s">
        <v>267</v>
      </c>
      <c r="E32" s="80">
        <v>5.0</v>
      </c>
      <c r="F32" s="80" t="s">
        <v>267</v>
      </c>
      <c r="G32" s="80">
        <v>5.0</v>
      </c>
      <c r="H32" s="80" t="s">
        <v>268</v>
      </c>
      <c r="I32" s="80">
        <v>6.0</v>
      </c>
      <c r="J32" s="96" t="s">
        <v>36</v>
      </c>
      <c r="K32" s="96">
        <v>8.0</v>
      </c>
      <c r="L32" s="96" t="s">
        <v>36</v>
      </c>
      <c r="M32" s="96">
        <v>8.0</v>
      </c>
      <c r="N32" s="112" t="s">
        <v>4</v>
      </c>
      <c r="O32" s="96">
        <v>0.0</v>
      </c>
      <c r="P32" s="122">
        <f t="shared" si="4"/>
        <v>40</v>
      </c>
      <c r="Q32" s="61"/>
    </row>
    <row r="33">
      <c r="A33" s="123" t="s">
        <v>78</v>
      </c>
      <c r="B33" s="96" t="s">
        <v>51</v>
      </c>
      <c r="C33" s="96">
        <v>8.0</v>
      </c>
      <c r="D33" s="112" t="s">
        <v>4</v>
      </c>
      <c r="E33" s="96">
        <v>0.0</v>
      </c>
      <c r="F33" s="96" t="s">
        <v>51</v>
      </c>
      <c r="G33" s="96">
        <v>8.0</v>
      </c>
      <c r="H33" s="96" t="s">
        <v>51</v>
      </c>
      <c r="I33" s="96">
        <v>8.0</v>
      </c>
      <c r="J33" s="96" t="s">
        <v>51</v>
      </c>
      <c r="K33" s="96">
        <v>8.0</v>
      </c>
      <c r="L33" s="96" t="s">
        <v>51</v>
      </c>
      <c r="M33" s="96">
        <v>8.0</v>
      </c>
      <c r="N33" s="112" t="s">
        <v>4</v>
      </c>
      <c r="O33" s="96">
        <v>0.0</v>
      </c>
      <c r="P33" s="122">
        <f t="shared" si="4"/>
        <v>40</v>
      </c>
      <c r="Q33" s="61"/>
    </row>
    <row r="34">
      <c r="A34" s="120" t="s">
        <v>94</v>
      </c>
      <c r="B34" s="96" t="s">
        <v>36</v>
      </c>
      <c r="C34" s="96">
        <v>8.0</v>
      </c>
      <c r="D34" s="112" t="s">
        <v>4</v>
      </c>
      <c r="E34" s="96">
        <v>0.0</v>
      </c>
      <c r="F34" s="96" t="s">
        <v>36</v>
      </c>
      <c r="G34" s="96">
        <v>8.0</v>
      </c>
      <c r="H34" s="96" t="s">
        <v>36</v>
      </c>
      <c r="I34" s="96">
        <v>8.0</v>
      </c>
      <c r="J34" s="96" t="s">
        <v>36</v>
      </c>
      <c r="K34" s="96">
        <v>8.0</v>
      </c>
      <c r="L34" s="96" t="s">
        <v>36</v>
      </c>
      <c r="M34" s="96">
        <v>8.0</v>
      </c>
      <c r="N34" s="112" t="s">
        <v>4</v>
      </c>
      <c r="O34" s="96">
        <v>0.0</v>
      </c>
      <c r="P34" s="122">
        <f>C34+E34+G34+I34+K34+M34+O34</f>
        <v>40</v>
      </c>
      <c r="Q34" s="61"/>
    </row>
    <row r="35">
      <c r="A35" s="124" t="s">
        <v>86</v>
      </c>
      <c r="B35" s="112" t="s">
        <v>4</v>
      </c>
      <c r="C35" s="96">
        <v>0.0</v>
      </c>
      <c r="D35" s="112" t="s">
        <v>4</v>
      </c>
      <c r="E35" s="96">
        <v>0.0</v>
      </c>
      <c r="F35" s="149" t="s">
        <v>234</v>
      </c>
      <c r="G35" s="154"/>
      <c r="H35" s="96" t="s">
        <v>17</v>
      </c>
      <c r="I35" s="96">
        <v>8.0</v>
      </c>
      <c r="J35" s="96" t="s">
        <v>17</v>
      </c>
      <c r="K35" s="96">
        <v>8.0</v>
      </c>
      <c r="L35" s="96" t="s">
        <v>17</v>
      </c>
      <c r="M35" s="96">
        <v>8.0</v>
      </c>
      <c r="N35" s="96" t="s">
        <v>17</v>
      </c>
      <c r="O35" s="96">
        <v>8.0</v>
      </c>
      <c r="P35" s="122">
        <f>C17+E17+G17+I17+K17+M17+O17</f>
        <v>32</v>
      </c>
      <c r="Q35" s="61"/>
    </row>
    <row r="37">
      <c r="A37" s="115" t="s">
        <v>269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</row>
    <row r="38">
      <c r="A38" s="116" t="s">
        <v>65</v>
      </c>
      <c r="B38" s="147">
        <v>46069.0</v>
      </c>
      <c r="C38" s="118"/>
      <c r="D38" s="147">
        <v>46070.0</v>
      </c>
      <c r="E38" s="118"/>
      <c r="F38" s="117" t="s">
        <v>270</v>
      </c>
      <c r="G38" s="118"/>
      <c r="H38" s="147">
        <v>46072.0</v>
      </c>
      <c r="I38" s="118"/>
      <c r="J38" s="147">
        <v>46073.0</v>
      </c>
      <c r="K38" s="118"/>
      <c r="L38" s="147">
        <v>46074.0</v>
      </c>
      <c r="M38" s="118"/>
      <c r="N38" s="147">
        <v>46075.0</v>
      </c>
      <c r="O38" s="118"/>
      <c r="P38" s="117" t="s">
        <v>107</v>
      </c>
      <c r="Q38" s="119" t="s">
        <v>212</v>
      </c>
    </row>
    <row r="39">
      <c r="A39" s="120" t="s">
        <v>82</v>
      </c>
      <c r="B39" s="148" t="s">
        <v>51</v>
      </c>
      <c r="C39" s="96">
        <v>8.0</v>
      </c>
      <c r="D39" s="96" t="s">
        <v>51</v>
      </c>
      <c r="E39" s="96">
        <v>8.0</v>
      </c>
      <c r="F39" s="112" t="s">
        <v>4</v>
      </c>
      <c r="G39" s="96">
        <v>0.0</v>
      </c>
      <c r="H39" s="96" t="s">
        <v>51</v>
      </c>
      <c r="I39" s="96">
        <v>8.0</v>
      </c>
      <c r="J39" s="96" t="s">
        <v>51</v>
      </c>
      <c r="K39" s="96">
        <v>8.0</v>
      </c>
      <c r="L39" s="96" t="s">
        <v>51</v>
      </c>
      <c r="M39" s="96">
        <v>8.0</v>
      </c>
      <c r="N39" s="112" t="s">
        <v>4</v>
      </c>
      <c r="O39" s="96">
        <v>0.0</v>
      </c>
      <c r="P39" s="122">
        <f t="shared" ref="P39:P53" si="5">C39+E39+G39+I39+M39+O39+K39</f>
        <v>40</v>
      </c>
      <c r="Q39" s="77"/>
    </row>
    <row r="40">
      <c r="A40" s="123" t="s">
        <v>90</v>
      </c>
      <c r="B40" s="112" t="s">
        <v>4</v>
      </c>
      <c r="C40" s="96">
        <v>0.0</v>
      </c>
      <c r="D40" s="96" t="s">
        <v>51</v>
      </c>
      <c r="E40" s="96">
        <v>8.0</v>
      </c>
      <c r="F40" s="96" t="s">
        <v>51</v>
      </c>
      <c r="G40" s="96">
        <v>8.0</v>
      </c>
      <c r="H40" s="96" t="s">
        <v>51</v>
      </c>
      <c r="I40" s="96">
        <v>8.0</v>
      </c>
      <c r="J40" s="96" t="s">
        <v>51</v>
      </c>
      <c r="K40" s="96">
        <v>8.0</v>
      </c>
      <c r="L40" s="96" t="s">
        <v>51</v>
      </c>
      <c r="M40" s="96">
        <v>8.0</v>
      </c>
      <c r="N40" s="112" t="s">
        <v>4</v>
      </c>
      <c r="O40" s="96">
        <v>0.0</v>
      </c>
      <c r="P40" s="122">
        <f t="shared" si="5"/>
        <v>40</v>
      </c>
      <c r="Q40" s="61"/>
    </row>
    <row r="41">
      <c r="A41" s="123" t="s">
        <v>88</v>
      </c>
      <c r="B41" s="96" t="s">
        <v>36</v>
      </c>
      <c r="C41" s="96">
        <v>8.0</v>
      </c>
      <c r="D41" s="96" t="s">
        <v>36</v>
      </c>
      <c r="E41" s="96">
        <v>8.0</v>
      </c>
      <c r="F41" s="112" t="s">
        <v>4</v>
      </c>
      <c r="G41" s="96">
        <v>0.0</v>
      </c>
      <c r="H41" s="111" t="s">
        <v>36</v>
      </c>
      <c r="I41" s="111">
        <v>8.0</v>
      </c>
      <c r="J41" s="111" t="s">
        <v>36</v>
      </c>
      <c r="K41" s="111">
        <v>8.0</v>
      </c>
      <c r="L41" s="96" t="s">
        <v>36</v>
      </c>
      <c r="M41" s="96">
        <v>8.0</v>
      </c>
      <c r="N41" s="112" t="s">
        <v>4</v>
      </c>
      <c r="O41" s="96">
        <v>0.0</v>
      </c>
      <c r="P41" s="122">
        <f t="shared" si="5"/>
        <v>40</v>
      </c>
      <c r="Q41" s="61"/>
    </row>
    <row r="42">
      <c r="A42" s="120" t="s">
        <v>70</v>
      </c>
      <c r="B42" s="96" t="s">
        <v>51</v>
      </c>
      <c r="C42" s="96">
        <v>8.0</v>
      </c>
      <c r="D42" s="96" t="s">
        <v>51</v>
      </c>
      <c r="E42" s="96">
        <v>8.0</v>
      </c>
      <c r="F42" s="112" t="s">
        <v>4</v>
      </c>
      <c r="G42" s="96">
        <v>0.0</v>
      </c>
      <c r="H42" s="96" t="s">
        <v>51</v>
      </c>
      <c r="I42" s="96">
        <v>8.0</v>
      </c>
      <c r="J42" s="96" t="s">
        <v>51</v>
      </c>
      <c r="K42" s="96">
        <v>8.0</v>
      </c>
      <c r="L42" s="96" t="s">
        <v>51</v>
      </c>
      <c r="M42" s="96">
        <v>8.0</v>
      </c>
      <c r="N42" s="112" t="s">
        <v>4</v>
      </c>
      <c r="O42" s="96">
        <v>0.0</v>
      </c>
      <c r="P42" s="122">
        <f t="shared" si="5"/>
        <v>40</v>
      </c>
      <c r="Q42" s="61"/>
    </row>
    <row r="43">
      <c r="A43" s="120" t="s">
        <v>72</v>
      </c>
      <c r="B43" s="96" t="s">
        <v>51</v>
      </c>
      <c r="C43" s="96">
        <v>8.0</v>
      </c>
      <c r="D43" s="96" t="s">
        <v>51</v>
      </c>
      <c r="E43" s="96">
        <v>8.0</v>
      </c>
      <c r="F43" s="96" t="s">
        <v>51</v>
      </c>
      <c r="G43" s="96">
        <v>8.0</v>
      </c>
      <c r="H43" s="96" t="s">
        <v>51</v>
      </c>
      <c r="I43" s="96">
        <v>8.0</v>
      </c>
      <c r="J43" s="96" t="s">
        <v>51</v>
      </c>
      <c r="K43" s="96">
        <v>8.0</v>
      </c>
      <c r="L43" s="96" t="s">
        <v>51</v>
      </c>
      <c r="M43" s="96">
        <v>8.0</v>
      </c>
      <c r="N43" s="112" t="s">
        <v>4</v>
      </c>
      <c r="O43" s="96">
        <v>0.0</v>
      </c>
      <c r="P43" s="122">
        <f t="shared" si="5"/>
        <v>48</v>
      </c>
      <c r="Q43" s="77" t="s">
        <v>271</v>
      </c>
    </row>
    <row r="44">
      <c r="A44" s="120" t="s">
        <v>96</v>
      </c>
      <c r="B44" s="96" t="s">
        <v>51</v>
      </c>
      <c r="C44" s="96">
        <v>8.0</v>
      </c>
      <c r="D44" s="149" t="s">
        <v>234</v>
      </c>
      <c r="E44" s="154"/>
      <c r="F44" s="112" t="s">
        <v>4</v>
      </c>
      <c r="G44" s="96">
        <v>0.0</v>
      </c>
      <c r="H44" s="96" t="s">
        <v>51</v>
      </c>
      <c r="I44" s="96">
        <v>8.0</v>
      </c>
      <c r="J44" s="96" t="s">
        <v>51</v>
      </c>
      <c r="K44" s="96">
        <v>8.0</v>
      </c>
      <c r="L44" s="96" t="s">
        <v>51</v>
      </c>
      <c r="M44" s="96">
        <v>8.0</v>
      </c>
      <c r="N44" s="112" t="s">
        <v>4</v>
      </c>
      <c r="O44" s="96">
        <v>0.0</v>
      </c>
      <c r="P44" s="122">
        <f t="shared" si="5"/>
        <v>32</v>
      </c>
      <c r="Q44" s="61"/>
    </row>
    <row r="45">
      <c r="A45" s="120" t="s">
        <v>92</v>
      </c>
      <c r="B45" s="96" t="s">
        <v>51</v>
      </c>
      <c r="C45" s="96">
        <v>8.0</v>
      </c>
      <c r="D45" s="112" t="s">
        <v>4</v>
      </c>
      <c r="E45" s="96">
        <v>0.0</v>
      </c>
      <c r="F45" s="96" t="s">
        <v>51</v>
      </c>
      <c r="G45" s="96">
        <v>8.0</v>
      </c>
      <c r="H45" s="96" t="s">
        <v>51</v>
      </c>
      <c r="I45" s="96">
        <v>8.0</v>
      </c>
      <c r="J45" s="96" t="s">
        <v>51</v>
      </c>
      <c r="K45" s="96">
        <v>8.0</v>
      </c>
      <c r="L45" s="96" t="s">
        <v>51</v>
      </c>
      <c r="M45" s="96">
        <v>8.0</v>
      </c>
      <c r="N45" s="112" t="s">
        <v>4</v>
      </c>
      <c r="O45" s="96">
        <v>0.0</v>
      </c>
      <c r="P45" s="122">
        <f t="shared" si="5"/>
        <v>40</v>
      </c>
      <c r="Q45" s="77"/>
    </row>
    <row r="46">
      <c r="A46" s="124" t="s">
        <v>76</v>
      </c>
      <c r="B46" s="112" t="s">
        <v>4</v>
      </c>
      <c r="C46" s="96">
        <v>0.0</v>
      </c>
      <c r="D46" s="112" t="s">
        <v>4</v>
      </c>
      <c r="E46" s="96">
        <v>0.0</v>
      </c>
      <c r="F46" s="96" t="s">
        <v>51</v>
      </c>
      <c r="G46" s="96">
        <v>8.0</v>
      </c>
      <c r="H46" s="96" t="s">
        <v>51</v>
      </c>
      <c r="I46" s="96">
        <v>8.0</v>
      </c>
      <c r="J46" s="96" t="s">
        <v>51</v>
      </c>
      <c r="K46" s="96">
        <v>8.0</v>
      </c>
      <c r="L46" s="96" t="s">
        <v>51</v>
      </c>
      <c r="M46" s="96">
        <v>8.0</v>
      </c>
      <c r="N46" s="96" t="s">
        <v>51</v>
      </c>
      <c r="O46" s="96">
        <v>8.0</v>
      </c>
      <c r="P46" s="122">
        <f t="shared" si="5"/>
        <v>40</v>
      </c>
      <c r="Q46" s="61"/>
    </row>
    <row r="47">
      <c r="A47" s="120" t="s">
        <v>74</v>
      </c>
      <c r="B47" s="112" t="s">
        <v>4</v>
      </c>
      <c r="C47" s="96">
        <v>0.0</v>
      </c>
      <c r="D47" s="156" t="s">
        <v>17</v>
      </c>
      <c r="E47" s="156">
        <v>8.0</v>
      </c>
      <c r="F47" s="156" t="s">
        <v>17</v>
      </c>
      <c r="G47" s="156">
        <v>8.0</v>
      </c>
      <c r="H47" s="157" t="s">
        <v>17</v>
      </c>
      <c r="I47" s="157">
        <v>8.0</v>
      </c>
      <c r="J47" s="96" t="s">
        <v>17</v>
      </c>
      <c r="K47" s="96">
        <v>8.0</v>
      </c>
      <c r="L47" s="96" t="s">
        <v>17</v>
      </c>
      <c r="M47" s="96">
        <v>8.0</v>
      </c>
      <c r="N47" s="112" t="s">
        <v>4</v>
      </c>
      <c r="O47" s="96">
        <v>0.0</v>
      </c>
      <c r="P47" s="122">
        <f t="shared" si="5"/>
        <v>40</v>
      </c>
      <c r="Q47" s="77" t="s">
        <v>272</v>
      </c>
    </row>
    <row r="48">
      <c r="A48" s="120" t="s">
        <v>84</v>
      </c>
      <c r="B48" s="80" t="s">
        <v>51</v>
      </c>
      <c r="C48" s="80">
        <v>8.0</v>
      </c>
      <c r="D48" s="80" t="s">
        <v>267</v>
      </c>
      <c r="E48" s="80">
        <v>5.0</v>
      </c>
      <c r="F48" s="80" t="s">
        <v>267</v>
      </c>
      <c r="G48" s="80">
        <v>5.0</v>
      </c>
      <c r="H48" s="80" t="s">
        <v>268</v>
      </c>
      <c r="I48" s="80">
        <v>6.0</v>
      </c>
      <c r="J48" s="80" t="s">
        <v>51</v>
      </c>
      <c r="K48" s="80">
        <v>8.0</v>
      </c>
      <c r="L48" s="80" t="s">
        <v>51</v>
      </c>
      <c r="M48" s="80">
        <v>8.0</v>
      </c>
      <c r="N48" s="112" t="s">
        <v>4</v>
      </c>
      <c r="O48" s="96">
        <v>0.0</v>
      </c>
      <c r="P48" s="122">
        <f t="shared" si="5"/>
        <v>40</v>
      </c>
      <c r="Q48" s="77"/>
    </row>
    <row r="49">
      <c r="A49" s="120" t="s">
        <v>98</v>
      </c>
      <c r="B49" s="112" t="s">
        <v>4</v>
      </c>
      <c r="C49" s="96">
        <v>0.0</v>
      </c>
      <c r="D49" s="96" t="s">
        <v>51</v>
      </c>
      <c r="E49" s="96">
        <v>8.0</v>
      </c>
      <c r="F49" s="96" t="s">
        <v>51</v>
      </c>
      <c r="G49" s="96">
        <v>8.0</v>
      </c>
      <c r="H49" s="96" t="s">
        <v>51</v>
      </c>
      <c r="I49" s="96">
        <v>8.0</v>
      </c>
      <c r="J49" s="96" t="s">
        <v>51</v>
      </c>
      <c r="K49" s="96">
        <v>8.0</v>
      </c>
      <c r="L49" s="149" t="s">
        <v>234</v>
      </c>
      <c r="M49" s="154"/>
      <c r="N49" s="112" t="s">
        <v>4</v>
      </c>
      <c r="O49" s="96">
        <v>0.0</v>
      </c>
      <c r="P49" s="122">
        <f t="shared" si="5"/>
        <v>32</v>
      </c>
      <c r="Q49" s="61"/>
    </row>
    <row r="50">
      <c r="A50" s="153" t="s">
        <v>80</v>
      </c>
      <c r="B50" s="96" t="s">
        <v>36</v>
      </c>
      <c r="C50" s="96">
        <v>8.0</v>
      </c>
      <c r="D50" s="80" t="s">
        <v>267</v>
      </c>
      <c r="E50" s="80">
        <v>5.0</v>
      </c>
      <c r="F50" s="80" t="s">
        <v>267</v>
      </c>
      <c r="G50" s="80">
        <v>5.0</v>
      </c>
      <c r="H50" s="80" t="s">
        <v>268</v>
      </c>
      <c r="I50" s="80">
        <v>6.0</v>
      </c>
      <c r="J50" s="96" t="s">
        <v>36</v>
      </c>
      <c r="K50" s="96">
        <v>8.0</v>
      </c>
      <c r="L50" s="96" t="s">
        <v>36</v>
      </c>
      <c r="M50" s="96">
        <v>8.0</v>
      </c>
      <c r="N50" s="112" t="s">
        <v>4</v>
      </c>
      <c r="O50" s="96">
        <v>0.0</v>
      </c>
      <c r="P50" s="122">
        <f t="shared" si="5"/>
        <v>40</v>
      </c>
      <c r="Q50" s="61"/>
    </row>
    <row r="51">
      <c r="A51" s="123" t="s">
        <v>78</v>
      </c>
      <c r="B51" s="96" t="s">
        <v>51</v>
      </c>
      <c r="C51" s="96">
        <v>8.0</v>
      </c>
      <c r="D51" s="112" t="s">
        <v>4</v>
      </c>
      <c r="E51" s="96">
        <v>0.0</v>
      </c>
      <c r="F51" s="96" t="s">
        <v>51</v>
      </c>
      <c r="G51" s="96">
        <v>8.0</v>
      </c>
      <c r="H51" s="96" t="s">
        <v>51</v>
      </c>
      <c r="I51" s="96">
        <v>8.0</v>
      </c>
      <c r="J51" s="96" t="s">
        <v>51</v>
      </c>
      <c r="K51" s="96">
        <v>8.0</v>
      </c>
      <c r="L51" s="96" t="s">
        <v>51</v>
      </c>
      <c r="M51" s="96">
        <v>8.0</v>
      </c>
      <c r="N51" s="112" t="s">
        <v>4</v>
      </c>
      <c r="O51" s="96">
        <v>0.0</v>
      </c>
      <c r="P51" s="122">
        <f t="shared" si="5"/>
        <v>40</v>
      </c>
      <c r="Q51" s="61"/>
    </row>
    <row r="52">
      <c r="A52" s="120" t="s">
        <v>94</v>
      </c>
      <c r="B52" s="96" t="s">
        <v>36</v>
      </c>
      <c r="C52" s="96">
        <v>8.0</v>
      </c>
      <c r="D52" s="96" t="s">
        <v>36</v>
      </c>
      <c r="E52" s="96">
        <v>8.0</v>
      </c>
      <c r="F52" s="96" t="s">
        <v>36</v>
      </c>
      <c r="G52" s="96">
        <v>8.0</v>
      </c>
      <c r="H52" s="96" t="s">
        <v>36</v>
      </c>
      <c r="I52" s="96">
        <v>8.0</v>
      </c>
      <c r="J52" s="96" t="s">
        <v>36</v>
      </c>
      <c r="K52" s="96">
        <v>8.0</v>
      </c>
      <c r="L52" s="96" t="s">
        <v>36</v>
      </c>
      <c r="M52" s="96">
        <v>8.0</v>
      </c>
      <c r="N52" s="112" t="s">
        <v>4</v>
      </c>
      <c r="O52" s="96">
        <v>0.0</v>
      </c>
      <c r="P52" s="122">
        <f t="shared" si="5"/>
        <v>48</v>
      </c>
      <c r="Q52" s="61"/>
    </row>
    <row r="53">
      <c r="A53" s="124" t="s">
        <v>86</v>
      </c>
      <c r="B53" s="112" t="s">
        <v>4</v>
      </c>
      <c r="C53" s="96">
        <v>0.0</v>
      </c>
      <c r="D53" s="112" t="s">
        <v>4</v>
      </c>
      <c r="E53" s="96">
        <v>0.0</v>
      </c>
      <c r="F53" s="96" t="s">
        <v>17</v>
      </c>
      <c r="G53" s="96">
        <v>8.0</v>
      </c>
      <c r="H53" s="96" t="s">
        <v>17</v>
      </c>
      <c r="I53" s="96">
        <v>8.0</v>
      </c>
      <c r="J53" s="96" t="s">
        <v>17</v>
      </c>
      <c r="K53" s="96">
        <v>8.0</v>
      </c>
      <c r="L53" s="96" t="s">
        <v>17</v>
      </c>
      <c r="M53" s="96">
        <v>8.0</v>
      </c>
      <c r="N53" s="96" t="s">
        <v>17</v>
      </c>
      <c r="O53" s="96">
        <v>8.0</v>
      </c>
      <c r="P53" s="122">
        <f t="shared" si="5"/>
        <v>40</v>
      </c>
      <c r="Q53" s="61"/>
    </row>
    <row r="55">
      <c r="A55" s="115" t="s">
        <v>273</v>
      </c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</row>
    <row r="56">
      <c r="A56" s="116" t="s">
        <v>65</v>
      </c>
      <c r="B56" s="158">
        <v>46076.0</v>
      </c>
      <c r="C56" s="141"/>
      <c r="D56" s="158">
        <v>46077.0</v>
      </c>
      <c r="E56" s="141"/>
      <c r="F56" s="140" t="s">
        <v>274</v>
      </c>
      <c r="G56" s="141"/>
      <c r="H56" s="158">
        <v>46079.0</v>
      </c>
      <c r="I56" s="141"/>
      <c r="J56" s="158">
        <v>46080.0</v>
      </c>
      <c r="K56" s="141"/>
      <c r="L56" s="158">
        <v>46081.0</v>
      </c>
      <c r="M56" s="141"/>
      <c r="N56" s="158">
        <v>46082.0</v>
      </c>
      <c r="O56" s="141"/>
      <c r="P56" s="117" t="s">
        <v>107</v>
      </c>
      <c r="Q56" s="119" t="s">
        <v>212</v>
      </c>
    </row>
    <row r="57">
      <c r="A57" s="120" t="s">
        <v>82</v>
      </c>
      <c r="B57" s="148" t="s">
        <v>51</v>
      </c>
      <c r="C57" s="107">
        <v>8.0</v>
      </c>
      <c r="D57" s="107" t="s">
        <v>51</v>
      </c>
      <c r="E57" s="107">
        <v>8.0</v>
      </c>
      <c r="F57" s="159" t="s">
        <v>4</v>
      </c>
      <c r="G57" s="107">
        <v>0.0</v>
      </c>
      <c r="H57" s="107" t="s">
        <v>51</v>
      </c>
      <c r="I57" s="107">
        <v>8.0</v>
      </c>
      <c r="J57" s="107" t="s">
        <v>51</v>
      </c>
      <c r="K57" s="107">
        <v>8.0</v>
      </c>
      <c r="L57" s="107" t="s">
        <v>51</v>
      </c>
      <c r="M57" s="107">
        <v>8.0</v>
      </c>
      <c r="N57" s="159" t="s">
        <v>4</v>
      </c>
      <c r="O57" s="107">
        <v>0.0</v>
      </c>
      <c r="P57" s="122">
        <v>40.0</v>
      </c>
      <c r="Q57" s="77"/>
    </row>
    <row r="58">
      <c r="A58" s="123" t="s">
        <v>90</v>
      </c>
      <c r="B58" s="112" t="s">
        <v>4</v>
      </c>
      <c r="C58" s="96">
        <v>0.0</v>
      </c>
      <c r="D58" s="96" t="s">
        <v>51</v>
      </c>
      <c r="E58" s="96">
        <v>8.0</v>
      </c>
      <c r="F58" s="96" t="s">
        <v>51</v>
      </c>
      <c r="G58" s="96">
        <v>8.0</v>
      </c>
      <c r="H58" s="96" t="s">
        <v>51</v>
      </c>
      <c r="I58" s="96">
        <v>8.0</v>
      </c>
      <c r="J58" s="96" t="s">
        <v>51</v>
      </c>
      <c r="K58" s="96">
        <v>8.0</v>
      </c>
      <c r="L58" s="121" t="s">
        <v>275</v>
      </c>
      <c r="M58" s="96">
        <v>8.0</v>
      </c>
      <c r="N58" s="112" t="s">
        <v>4</v>
      </c>
      <c r="O58" s="96">
        <v>0.0</v>
      </c>
      <c r="P58" s="122">
        <v>40.0</v>
      </c>
      <c r="Q58" s="61"/>
    </row>
    <row r="59">
      <c r="A59" s="123" t="s">
        <v>88</v>
      </c>
      <c r="B59" s="96" t="s">
        <v>36</v>
      </c>
      <c r="C59" s="96">
        <v>8.0</v>
      </c>
      <c r="D59" s="96" t="s">
        <v>36</v>
      </c>
      <c r="E59" s="96">
        <v>8.0</v>
      </c>
      <c r="F59" s="112" t="s">
        <v>4</v>
      </c>
      <c r="G59" s="96">
        <v>0.0</v>
      </c>
      <c r="H59" s="96" t="s">
        <v>36</v>
      </c>
      <c r="I59" s="96">
        <v>8.0</v>
      </c>
      <c r="J59" s="96" t="s">
        <v>36</v>
      </c>
      <c r="K59" s="96">
        <v>8.0</v>
      </c>
      <c r="L59" s="121" t="s">
        <v>275</v>
      </c>
      <c r="M59" s="96">
        <v>8.0</v>
      </c>
      <c r="N59" s="112" t="s">
        <v>4</v>
      </c>
      <c r="O59" s="96">
        <v>0.0</v>
      </c>
      <c r="P59" s="122">
        <v>40.0</v>
      </c>
      <c r="Q59" s="61"/>
    </row>
    <row r="60">
      <c r="A60" s="120" t="s">
        <v>70</v>
      </c>
      <c r="B60" s="96" t="s">
        <v>51</v>
      </c>
      <c r="C60" s="96">
        <v>8.0</v>
      </c>
      <c r="D60" s="96" t="s">
        <v>51</v>
      </c>
      <c r="E60" s="96">
        <v>8.0</v>
      </c>
      <c r="F60" s="112" t="s">
        <v>4</v>
      </c>
      <c r="G60" s="96">
        <v>0.0</v>
      </c>
      <c r="H60" s="96" t="s">
        <v>51</v>
      </c>
      <c r="I60" s="96">
        <v>8.0</v>
      </c>
      <c r="J60" s="96" t="s">
        <v>51</v>
      </c>
      <c r="K60" s="96">
        <v>8.0</v>
      </c>
      <c r="L60" s="96" t="s">
        <v>51</v>
      </c>
      <c r="M60" s="96">
        <v>8.0</v>
      </c>
      <c r="N60" s="112" t="s">
        <v>4</v>
      </c>
      <c r="O60" s="96">
        <v>0.0</v>
      </c>
      <c r="P60" s="122">
        <v>40.0</v>
      </c>
      <c r="Q60" s="61"/>
    </row>
    <row r="61">
      <c r="A61" s="120" t="s">
        <v>72</v>
      </c>
      <c r="B61" s="112" t="s">
        <v>4</v>
      </c>
      <c r="C61" s="96">
        <v>0.0</v>
      </c>
      <c r="D61" s="96" t="s">
        <v>51</v>
      </c>
      <c r="E61" s="96">
        <v>8.0</v>
      </c>
      <c r="F61" s="96" t="s">
        <v>51</v>
      </c>
      <c r="G61" s="96">
        <v>8.0</v>
      </c>
      <c r="H61" s="96" t="s">
        <v>51</v>
      </c>
      <c r="I61" s="96">
        <v>8.0</v>
      </c>
      <c r="J61" s="96" t="s">
        <v>51</v>
      </c>
      <c r="K61" s="96">
        <v>8.0</v>
      </c>
      <c r="L61" s="121" t="s">
        <v>275</v>
      </c>
      <c r="M61" s="96">
        <v>8.0</v>
      </c>
      <c r="N61" s="112" t="s">
        <v>4</v>
      </c>
      <c r="O61" s="96">
        <v>0.0</v>
      </c>
      <c r="P61" s="122">
        <v>40.0</v>
      </c>
      <c r="Q61" s="61"/>
    </row>
    <row r="62">
      <c r="A62" s="120" t="s">
        <v>96</v>
      </c>
      <c r="B62" s="96" t="s">
        <v>51</v>
      </c>
      <c r="C62" s="96">
        <v>8.0</v>
      </c>
      <c r="D62" s="96" t="s">
        <v>51</v>
      </c>
      <c r="E62" s="96">
        <v>8.0</v>
      </c>
      <c r="F62" s="112" t="s">
        <v>4</v>
      </c>
      <c r="G62" s="96">
        <v>0.0</v>
      </c>
      <c r="H62" s="96" t="s">
        <v>51</v>
      </c>
      <c r="I62" s="96">
        <v>8.0</v>
      </c>
      <c r="J62" s="96" t="s">
        <v>51</v>
      </c>
      <c r="K62" s="96">
        <v>8.0</v>
      </c>
      <c r="L62" s="96" t="s">
        <v>51</v>
      </c>
      <c r="M62" s="96">
        <v>8.0</v>
      </c>
      <c r="N62" s="112" t="s">
        <v>4</v>
      </c>
      <c r="O62" s="96">
        <v>0.0</v>
      </c>
      <c r="P62" s="122">
        <v>40.0</v>
      </c>
      <c r="Q62" s="61"/>
    </row>
    <row r="63">
      <c r="A63" s="120" t="s">
        <v>92</v>
      </c>
      <c r="B63" s="149" t="s">
        <v>234</v>
      </c>
      <c r="C63" s="154"/>
      <c r="D63" s="112" t="s">
        <v>4</v>
      </c>
      <c r="E63" s="96">
        <v>0.0</v>
      </c>
      <c r="F63" s="96" t="s">
        <v>51</v>
      </c>
      <c r="G63" s="96">
        <v>8.0</v>
      </c>
      <c r="H63" s="96" t="s">
        <v>51</v>
      </c>
      <c r="I63" s="96">
        <v>8.0</v>
      </c>
      <c r="J63" s="96" t="s">
        <v>51</v>
      </c>
      <c r="K63" s="96">
        <v>8.0</v>
      </c>
      <c r="L63" s="96" t="s">
        <v>51</v>
      </c>
      <c r="M63" s="96">
        <v>8.0</v>
      </c>
      <c r="N63" s="112" t="s">
        <v>4</v>
      </c>
      <c r="O63" s="96">
        <v>0.0</v>
      </c>
      <c r="P63" s="160">
        <v>32.0</v>
      </c>
      <c r="Q63" s="77"/>
    </row>
    <row r="64">
      <c r="A64" s="124" t="s">
        <v>76</v>
      </c>
      <c r="B64" s="112" t="s">
        <v>4</v>
      </c>
      <c r="C64" s="96">
        <v>0.0</v>
      </c>
      <c r="D64" s="112" t="s">
        <v>4</v>
      </c>
      <c r="E64" s="96">
        <v>0.0</v>
      </c>
      <c r="F64" s="96" t="s">
        <v>51</v>
      </c>
      <c r="G64" s="96">
        <v>8.0</v>
      </c>
      <c r="H64" s="96" t="s">
        <v>51</v>
      </c>
      <c r="I64" s="96">
        <v>8.0</v>
      </c>
      <c r="J64" s="96" t="s">
        <v>51</v>
      </c>
      <c r="K64" s="96">
        <v>8.0</v>
      </c>
      <c r="L64" s="96" t="s">
        <v>51</v>
      </c>
      <c r="M64" s="96">
        <v>8.0</v>
      </c>
      <c r="N64" s="96" t="s">
        <v>51</v>
      </c>
      <c r="O64" s="96">
        <v>8.0</v>
      </c>
      <c r="P64" s="122">
        <v>40.0</v>
      </c>
      <c r="Q64" s="61"/>
    </row>
    <row r="65">
      <c r="A65" s="120" t="s">
        <v>74</v>
      </c>
      <c r="B65" s="112" t="s">
        <v>4</v>
      </c>
      <c r="C65" s="96">
        <v>0.0</v>
      </c>
      <c r="D65" s="96" t="s">
        <v>17</v>
      </c>
      <c r="E65" s="96">
        <v>8.0</v>
      </c>
      <c r="F65" s="96" t="s">
        <v>17</v>
      </c>
      <c r="G65" s="96">
        <v>8.0</v>
      </c>
      <c r="H65" s="96" t="s">
        <v>17</v>
      </c>
      <c r="I65" s="96">
        <v>8.0</v>
      </c>
      <c r="J65" s="149" t="s">
        <v>234</v>
      </c>
      <c r="K65" s="154"/>
      <c r="L65" s="121" t="s">
        <v>275</v>
      </c>
      <c r="M65" s="96">
        <v>8.0</v>
      </c>
      <c r="N65" s="112" t="s">
        <v>4</v>
      </c>
      <c r="O65" s="96">
        <v>0.0</v>
      </c>
      <c r="P65" s="122">
        <v>40.0</v>
      </c>
      <c r="Q65" s="61"/>
    </row>
    <row r="66">
      <c r="A66" s="120" t="s">
        <v>84</v>
      </c>
      <c r="B66" s="80" t="s">
        <v>51</v>
      </c>
      <c r="C66" s="80">
        <v>8.0</v>
      </c>
      <c r="D66" s="80" t="s">
        <v>267</v>
      </c>
      <c r="E66" s="80">
        <v>5.0</v>
      </c>
      <c r="F66" s="80" t="s">
        <v>267</v>
      </c>
      <c r="G66" s="80">
        <v>5.0</v>
      </c>
      <c r="H66" s="80" t="s">
        <v>268</v>
      </c>
      <c r="I66" s="80">
        <v>6.0</v>
      </c>
      <c r="J66" s="80" t="s">
        <v>51</v>
      </c>
      <c r="K66" s="80">
        <v>8.0</v>
      </c>
      <c r="L66" s="80" t="s">
        <v>51</v>
      </c>
      <c r="M66" s="80">
        <v>8.0</v>
      </c>
      <c r="N66" s="112" t="s">
        <v>4</v>
      </c>
      <c r="O66" s="96">
        <v>0.0</v>
      </c>
      <c r="P66" s="122">
        <v>40.0</v>
      </c>
      <c r="Q66" s="77"/>
    </row>
    <row r="67">
      <c r="A67" s="120" t="s">
        <v>98</v>
      </c>
      <c r="B67" s="112" t="s">
        <v>4</v>
      </c>
      <c r="C67" s="96">
        <v>0.0</v>
      </c>
      <c r="D67" s="96" t="s">
        <v>51</v>
      </c>
      <c r="E67" s="96">
        <v>8.0</v>
      </c>
      <c r="F67" s="96" t="s">
        <v>51</v>
      </c>
      <c r="G67" s="96">
        <v>8.0</v>
      </c>
      <c r="H67" s="96" t="s">
        <v>51</v>
      </c>
      <c r="I67" s="96">
        <v>8.0</v>
      </c>
      <c r="J67" s="96" t="s">
        <v>51</v>
      </c>
      <c r="K67" s="96">
        <v>8.0</v>
      </c>
      <c r="L67" s="96" t="s">
        <v>51</v>
      </c>
      <c r="M67" s="96">
        <v>8.0</v>
      </c>
      <c r="N67" s="112" t="s">
        <v>4</v>
      </c>
      <c r="O67" s="96">
        <v>0.0</v>
      </c>
      <c r="P67" s="122">
        <v>40.0</v>
      </c>
      <c r="Q67" s="61"/>
    </row>
    <row r="68">
      <c r="A68" s="120" t="s">
        <v>80</v>
      </c>
      <c r="B68" s="96" t="s">
        <v>36</v>
      </c>
      <c r="C68" s="96">
        <v>8.0</v>
      </c>
      <c r="D68" s="80" t="s">
        <v>267</v>
      </c>
      <c r="E68" s="80">
        <v>5.0</v>
      </c>
      <c r="F68" s="80" t="s">
        <v>267</v>
      </c>
      <c r="G68" s="80">
        <v>5.0</v>
      </c>
      <c r="H68" s="80" t="s">
        <v>268</v>
      </c>
      <c r="I68" s="80">
        <v>6.0</v>
      </c>
      <c r="J68" s="149" t="s">
        <v>234</v>
      </c>
      <c r="K68" s="154"/>
      <c r="L68" s="121" t="s">
        <v>275</v>
      </c>
      <c r="M68" s="96">
        <v>8.0</v>
      </c>
      <c r="N68" s="112" t="s">
        <v>4</v>
      </c>
      <c r="O68" s="96">
        <v>0.0</v>
      </c>
      <c r="P68" s="122">
        <v>40.0</v>
      </c>
      <c r="Q68" s="61"/>
    </row>
    <row r="69">
      <c r="A69" s="123" t="s">
        <v>78</v>
      </c>
      <c r="B69" s="96" t="s">
        <v>51</v>
      </c>
      <c r="C69" s="96">
        <v>8.0</v>
      </c>
      <c r="D69" s="112" t="s">
        <v>4</v>
      </c>
      <c r="E69" s="96">
        <v>0.0</v>
      </c>
      <c r="F69" s="96" t="s">
        <v>51</v>
      </c>
      <c r="G69" s="96">
        <v>8.0</v>
      </c>
      <c r="H69" s="96" t="s">
        <v>51</v>
      </c>
      <c r="I69" s="96">
        <v>8.0</v>
      </c>
      <c r="J69" s="96" t="s">
        <v>51</v>
      </c>
      <c r="K69" s="96">
        <v>8.0</v>
      </c>
      <c r="L69" s="96" t="s">
        <v>51</v>
      </c>
      <c r="M69" s="96">
        <v>8.0</v>
      </c>
      <c r="N69" s="112" t="s">
        <v>4</v>
      </c>
      <c r="O69" s="96">
        <v>0.0</v>
      </c>
      <c r="P69" s="122">
        <v>40.0</v>
      </c>
      <c r="Q69" s="61"/>
    </row>
    <row r="70">
      <c r="A70" s="120" t="s">
        <v>94</v>
      </c>
      <c r="B70" s="96" t="s">
        <v>36</v>
      </c>
      <c r="C70" s="96">
        <v>8.0</v>
      </c>
      <c r="D70" s="112" t="s">
        <v>4</v>
      </c>
      <c r="E70" s="96">
        <v>0.0</v>
      </c>
      <c r="F70" s="112" t="s">
        <v>4</v>
      </c>
      <c r="G70" s="96">
        <v>0.0</v>
      </c>
      <c r="H70" s="96" t="s">
        <v>36</v>
      </c>
      <c r="I70" s="96">
        <v>8.0</v>
      </c>
      <c r="J70" s="96" t="s">
        <v>36</v>
      </c>
      <c r="K70" s="96">
        <v>8.0</v>
      </c>
      <c r="L70" s="96" t="s">
        <v>36</v>
      </c>
      <c r="M70" s="96">
        <v>8.0</v>
      </c>
      <c r="N70" s="112" t="s">
        <v>4</v>
      </c>
      <c r="O70" s="96">
        <v>0.0</v>
      </c>
      <c r="P70" s="122">
        <v>40.0</v>
      </c>
      <c r="Q70" s="61"/>
    </row>
    <row r="71">
      <c r="A71" s="124" t="s">
        <v>86</v>
      </c>
      <c r="B71" s="112" t="s">
        <v>4</v>
      </c>
      <c r="C71" s="96">
        <v>0.0</v>
      </c>
      <c r="D71" s="112" t="s">
        <v>4</v>
      </c>
      <c r="E71" s="96">
        <v>0.0</v>
      </c>
      <c r="F71" s="96" t="s">
        <v>17</v>
      </c>
      <c r="G71" s="96">
        <v>8.0</v>
      </c>
      <c r="H71" s="96" t="s">
        <v>17</v>
      </c>
      <c r="I71" s="96">
        <v>8.0</v>
      </c>
      <c r="J71" s="96" t="s">
        <v>17</v>
      </c>
      <c r="K71" s="96">
        <v>8.0</v>
      </c>
      <c r="L71" s="96" t="s">
        <v>17</v>
      </c>
      <c r="M71" s="96">
        <v>8.0</v>
      </c>
      <c r="N71" s="96" t="s">
        <v>17</v>
      </c>
      <c r="O71" s="96">
        <v>8.0</v>
      </c>
      <c r="P71" s="122">
        <v>40.0</v>
      </c>
      <c r="Q71" s="61"/>
    </row>
  </sheetData>
  <conditionalFormatting sqref="P3:P17">
    <cfRule type="cellIs" dxfId="2" priority="1" operator="lessThan">
      <formula>40</formula>
    </cfRule>
  </conditionalFormatting>
  <conditionalFormatting sqref="P21:P35">
    <cfRule type="cellIs" dxfId="2" priority="2" operator="lessThan">
      <formula>40</formula>
    </cfRule>
  </conditionalFormatting>
  <conditionalFormatting sqref="P39:P53">
    <cfRule type="cellIs" dxfId="2" priority="3" operator="lessThan">
      <formula>40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4.86"/>
    <col customWidth="1" min="3" max="3" width="2.14"/>
    <col customWidth="1" min="4" max="4" width="24.86"/>
    <col customWidth="1" min="5" max="5" width="2.14"/>
    <col customWidth="1" min="6" max="6" width="24.86"/>
    <col customWidth="1" min="7" max="7" width="2.14"/>
    <col customWidth="1" min="8" max="8" width="24.86"/>
    <col customWidth="1" min="9" max="9" width="2.14"/>
    <col customWidth="1" min="10" max="10" width="24.86"/>
    <col customWidth="1" min="11" max="11" width="2.14"/>
    <col customWidth="1" min="12" max="12" width="24.86"/>
    <col customWidth="1" min="13" max="13" width="2.14"/>
    <col customWidth="1" min="14" max="14" width="24.86"/>
    <col customWidth="1" min="15" max="15" width="2.14"/>
    <col customWidth="1" min="17" max="17" width="22.0"/>
  </cols>
  <sheetData>
    <row r="2">
      <c r="A2" s="115" t="s">
        <v>276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>
      <c r="A3" s="116" t="s">
        <v>65</v>
      </c>
      <c r="B3" s="147">
        <v>46083.0</v>
      </c>
      <c r="C3" s="118"/>
      <c r="D3" s="147">
        <v>46084.0</v>
      </c>
      <c r="E3" s="118"/>
      <c r="F3" s="147">
        <v>46085.0</v>
      </c>
      <c r="G3" s="118"/>
      <c r="H3" s="147">
        <v>46086.0</v>
      </c>
      <c r="I3" s="118"/>
      <c r="J3" s="147">
        <v>46087.0</v>
      </c>
      <c r="K3" s="118"/>
      <c r="L3" s="147">
        <v>46088.0</v>
      </c>
      <c r="M3" s="118"/>
      <c r="N3" s="147">
        <v>46089.0</v>
      </c>
      <c r="O3" s="118"/>
      <c r="P3" s="117" t="s">
        <v>107</v>
      </c>
    </row>
    <row r="4">
      <c r="A4" s="120" t="s">
        <v>82</v>
      </c>
      <c r="B4" s="148" t="s">
        <v>277</v>
      </c>
      <c r="C4" s="96">
        <v>8.0</v>
      </c>
      <c r="D4" s="112" t="s">
        <v>4</v>
      </c>
      <c r="E4" s="96">
        <v>0.0</v>
      </c>
      <c r="F4" s="96" t="s">
        <v>51</v>
      </c>
      <c r="G4" s="96">
        <v>8.0</v>
      </c>
      <c r="H4" s="96" t="s">
        <v>51</v>
      </c>
      <c r="I4" s="96">
        <v>8.0</v>
      </c>
      <c r="J4" s="96" t="s">
        <v>51</v>
      </c>
      <c r="K4" s="96">
        <v>8.0</v>
      </c>
      <c r="L4" s="96" t="s">
        <v>51</v>
      </c>
      <c r="M4" s="96">
        <v>8.0</v>
      </c>
      <c r="N4" s="112" t="s">
        <v>4</v>
      </c>
      <c r="O4" s="96">
        <v>0.0</v>
      </c>
      <c r="P4" s="122">
        <f t="shared" ref="P4:P18" si="1">C4+E4+G4+I4+K4+M4+O4</f>
        <v>40</v>
      </c>
    </row>
    <row r="5">
      <c r="A5" s="123" t="s">
        <v>90</v>
      </c>
      <c r="B5" s="112" t="s">
        <v>4</v>
      </c>
      <c r="C5" s="96">
        <v>0.0</v>
      </c>
      <c r="D5" s="96" t="s">
        <v>51</v>
      </c>
      <c r="E5" s="96">
        <v>8.0</v>
      </c>
      <c r="F5" s="96" t="s">
        <v>51</v>
      </c>
      <c r="G5" s="96">
        <v>8.0</v>
      </c>
      <c r="H5" s="96" t="s">
        <v>51</v>
      </c>
      <c r="I5" s="96">
        <v>8.0</v>
      </c>
      <c r="J5" s="96" t="s">
        <v>51</v>
      </c>
      <c r="K5" s="96">
        <v>8.0</v>
      </c>
      <c r="L5" s="96" t="s">
        <v>51</v>
      </c>
      <c r="M5" s="96">
        <v>8.0</v>
      </c>
      <c r="N5" s="112" t="s">
        <v>4</v>
      </c>
      <c r="O5" s="96">
        <v>0.0</v>
      </c>
      <c r="P5" s="122">
        <f t="shared" si="1"/>
        <v>40</v>
      </c>
    </row>
    <row r="6">
      <c r="A6" s="123" t="s">
        <v>88</v>
      </c>
      <c r="B6" s="96" t="s">
        <v>36</v>
      </c>
      <c r="C6" s="96">
        <v>8.0</v>
      </c>
      <c r="D6" s="96" t="s">
        <v>36</v>
      </c>
      <c r="E6" s="96">
        <v>8.0</v>
      </c>
      <c r="F6" s="112" t="s">
        <v>4</v>
      </c>
      <c r="G6" s="96">
        <v>0.0</v>
      </c>
      <c r="H6" s="96" t="s">
        <v>36</v>
      </c>
      <c r="I6" s="96">
        <v>8.0</v>
      </c>
      <c r="J6" s="96" t="s">
        <v>36</v>
      </c>
      <c r="K6" s="96">
        <v>8.0</v>
      </c>
      <c r="L6" s="96" t="s">
        <v>36</v>
      </c>
      <c r="M6" s="96">
        <v>8.0</v>
      </c>
      <c r="N6" s="112" t="s">
        <v>4</v>
      </c>
      <c r="O6" s="96">
        <v>0.0</v>
      </c>
      <c r="P6" s="122">
        <f t="shared" si="1"/>
        <v>40</v>
      </c>
    </row>
    <row r="7">
      <c r="A7" s="120" t="s">
        <v>70</v>
      </c>
      <c r="B7" s="96" t="s">
        <v>51</v>
      </c>
      <c r="C7" s="96">
        <v>8.0</v>
      </c>
      <c r="D7" s="96" t="s">
        <v>51</v>
      </c>
      <c r="E7" s="96">
        <v>8.0</v>
      </c>
      <c r="F7" s="112" t="s">
        <v>4</v>
      </c>
      <c r="G7" s="96">
        <v>0.0</v>
      </c>
      <c r="H7" s="96" t="s">
        <v>51</v>
      </c>
      <c r="I7" s="96">
        <v>8.0</v>
      </c>
      <c r="J7" s="96" t="s">
        <v>51</v>
      </c>
      <c r="K7" s="96">
        <v>8.0</v>
      </c>
      <c r="L7" s="96" t="s">
        <v>51</v>
      </c>
      <c r="M7" s="96">
        <v>8.0</v>
      </c>
      <c r="N7" s="112" t="s">
        <v>4</v>
      </c>
      <c r="O7" s="96">
        <v>0.0</v>
      </c>
      <c r="P7" s="122">
        <f t="shared" si="1"/>
        <v>40</v>
      </c>
    </row>
    <row r="8">
      <c r="A8" s="120" t="s">
        <v>72</v>
      </c>
      <c r="B8" s="112" t="s">
        <v>4</v>
      </c>
      <c r="C8" s="96">
        <v>0.0</v>
      </c>
      <c r="D8" s="96" t="s">
        <v>51</v>
      </c>
      <c r="E8" s="96">
        <v>8.0</v>
      </c>
      <c r="F8" s="96" t="s">
        <v>51</v>
      </c>
      <c r="G8" s="96">
        <v>8.0</v>
      </c>
      <c r="H8" s="96" t="s">
        <v>51</v>
      </c>
      <c r="I8" s="96">
        <v>8.0</v>
      </c>
      <c r="J8" s="96" t="s">
        <v>51</v>
      </c>
      <c r="K8" s="96">
        <v>8.0</v>
      </c>
      <c r="L8" s="96" t="s">
        <v>51</v>
      </c>
      <c r="M8" s="96">
        <v>8.0</v>
      </c>
      <c r="N8" s="112" t="s">
        <v>4</v>
      </c>
      <c r="O8" s="96">
        <v>0.0</v>
      </c>
      <c r="P8" s="122">
        <f t="shared" si="1"/>
        <v>40</v>
      </c>
    </row>
    <row r="9">
      <c r="A9" s="120" t="s">
        <v>96</v>
      </c>
      <c r="B9" s="96" t="s">
        <v>51</v>
      </c>
      <c r="C9" s="96">
        <v>8.0</v>
      </c>
      <c r="D9" s="96" t="s">
        <v>51</v>
      </c>
      <c r="E9" s="96">
        <v>8.0</v>
      </c>
      <c r="F9" s="112" t="s">
        <v>4</v>
      </c>
      <c r="G9" s="96">
        <v>0.0</v>
      </c>
      <c r="H9" s="96" t="s">
        <v>51</v>
      </c>
      <c r="I9" s="96">
        <v>8.0</v>
      </c>
      <c r="J9" s="96" t="s">
        <v>51</v>
      </c>
      <c r="K9" s="96">
        <v>8.0</v>
      </c>
      <c r="L9" s="96" t="s">
        <v>51</v>
      </c>
      <c r="M9" s="96">
        <v>8.0</v>
      </c>
      <c r="N9" s="112" t="s">
        <v>4</v>
      </c>
      <c r="O9" s="96">
        <v>0.0</v>
      </c>
      <c r="P9" s="122">
        <f t="shared" si="1"/>
        <v>40</v>
      </c>
    </row>
    <row r="10">
      <c r="A10" s="120" t="s">
        <v>92</v>
      </c>
      <c r="B10" s="96" t="s">
        <v>51</v>
      </c>
      <c r="C10" s="96">
        <v>8.0</v>
      </c>
      <c r="D10" s="112" t="s">
        <v>4</v>
      </c>
      <c r="E10" s="96">
        <v>0.0</v>
      </c>
      <c r="F10" s="96" t="s">
        <v>51</v>
      </c>
      <c r="G10" s="96">
        <v>8.0</v>
      </c>
      <c r="H10" s="121" t="s">
        <v>278</v>
      </c>
      <c r="I10" s="96">
        <v>8.0</v>
      </c>
      <c r="J10" s="96" t="s">
        <v>51</v>
      </c>
      <c r="K10" s="96">
        <v>8.0</v>
      </c>
      <c r="L10" s="96" t="s">
        <v>51</v>
      </c>
      <c r="M10" s="96">
        <v>8.0</v>
      </c>
      <c r="N10" s="112" t="s">
        <v>4</v>
      </c>
      <c r="O10" s="96">
        <v>0.0</v>
      </c>
      <c r="P10" s="122">
        <f t="shared" si="1"/>
        <v>40</v>
      </c>
    </row>
    <row r="11">
      <c r="A11" s="124" t="s">
        <v>76</v>
      </c>
      <c r="B11" s="96" t="s">
        <v>51</v>
      </c>
      <c r="C11" s="96">
        <v>8.0</v>
      </c>
      <c r="D11" s="112" t="s">
        <v>4</v>
      </c>
      <c r="E11" s="96">
        <v>0.0</v>
      </c>
      <c r="F11" s="112" t="s">
        <v>4</v>
      </c>
      <c r="G11" s="96">
        <v>0.0</v>
      </c>
      <c r="H11" s="96" t="s">
        <v>51</v>
      </c>
      <c r="I11" s="96">
        <v>8.0</v>
      </c>
      <c r="J11" s="96" t="s">
        <v>51</v>
      </c>
      <c r="K11" s="96">
        <v>8.0</v>
      </c>
      <c r="L11" s="96" t="s">
        <v>51</v>
      </c>
      <c r="M11" s="96">
        <v>8.0</v>
      </c>
      <c r="N11" s="96" t="s">
        <v>51</v>
      </c>
      <c r="O11" s="96">
        <v>8.0</v>
      </c>
      <c r="P11" s="122">
        <f t="shared" si="1"/>
        <v>40</v>
      </c>
    </row>
    <row r="12">
      <c r="A12" s="120" t="s">
        <v>74</v>
      </c>
      <c r="B12" s="112" t="s">
        <v>4</v>
      </c>
      <c r="C12" s="96">
        <v>0.0</v>
      </c>
      <c r="D12" s="96" t="s">
        <v>17</v>
      </c>
      <c r="E12" s="96">
        <v>8.0</v>
      </c>
      <c r="F12" s="96" t="s">
        <v>17</v>
      </c>
      <c r="G12" s="96">
        <v>8.0</v>
      </c>
      <c r="H12" s="96" t="s">
        <v>17</v>
      </c>
      <c r="I12" s="96">
        <v>8.0</v>
      </c>
      <c r="J12" s="96" t="s">
        <v>17</v>
      </c>
      <c r="K12" s="96">
        <v>8.0</v>
      </c>
      <c r="L12" s="96" t="s">
        <v>17</v>
      </c>
      <c r="M12" s="96">
        <v>8.0</v>
      </c>
      <c r="N12" s="112" t="s">
        <v>4</v>
      </c>
      <c r="O12" s="96">
        <v>0.0</v>
      </c>
      <c r="P12" s="122">
        <f t="shared" si="1"/>
        <v>40</v>
      </c>
    </row>
    <row r="13">
      <c r="A13" s="161" t="s">
        <v>84</v>
      </c>
      <c r="B13" s="96" t="s">
        <v>51</v>
      </c>
      <c r="C13" s="96">
        <v>8.0</v>
      </c>
      <c r="D13" s="96" t="s">
        <v>267</v>
      </c>
      <c r="E13" s="96">
        <v>5.0</v>
      </c>
      <c r="F13" s="96" t="s">
        <v>267</v>
      </c>
      <c r="G13" s="96">
        <v>5.0</v>
      </c>
      <c r="H13" s="96" t="s">
        <v>268</v>
      </c>
      <c r="I13" s="96">
        <v>6.0</v>
      </c>
      <c r="J13" s="96" t="s">
        <v>51</v>
      </c>
      <c r="K13" s="96">
        <v>8.0</v>
      </c>
      <c r="L13" s="96" t="s">
        <v>51</v>
      </c>
      <c r="M13" s="96">
        <v>8.0</v>
      </c>
      <c r="N13" s="112" t="s">
        <v>4</v>
      </c>
      <c r="O13" s="96">
        <v>0.0</v>
      </c>
      <c r="P13" s="122">
        <f t="shared" si="1"/>
        <v>40</v>
      </c>
    </row>
    <row r="14">
      <c r="A14" s="120" t="s">
        <v>98</v>
      </c>
      <c r="B14" s="112" t="s">
        <v>4</v>
      </c>
      <c r="C14" s="96">
        <v>0.0</v>
      </c>
      <c r="D14" s="96" t="s">
        <v>51</v>
      </c>
      <c r="E14" s="96">
        <v>8.0</v>
      </c>
      <c r="F14" s="96" t="s">
        <v>51</v>
      </c>
      <c r="G14" s="96">
        <v>8.0</v>
      </c>
      <c r="H14" s="96" t="s">
        <v>51</v>
      </c>
      <c r="I14" s="96">
        <v>8.0</v>
      </c>
      <c r="J14" s="96" t="s">
        <v>51</v>
      </c>
      <c r="K14" s="96">
        <v>8.0</v>
      </c>
      <c r="L14" s="96" t="s">
        <v>51</v>
      </c>
      <c r="M14" s="96">
        <v>8.0</v>
      </c>
      <c r="N14" s="112" t="s">
        <v>4</v>
      </c>
      <c r="O14" s="96">
        <v>0.0</v>
      </c>
      <c r="P14" s="122">
        <f t="shared" si="1"/>
        <v>40</v>
      </c>
    </row>
    <row r="15">
      <c r="A15" s="161" t="s">
        <v>80</v>
      </c>
      <c r="B15" s="80" t="s">
        <v>51</v>
      </c>
      <c r="C15" s="80">
        <v>8.0</v>
      </c>
      <c r="D15" s="80" t="s">
        <v>267</v>
      </c>
      <c r="E15" s="80">
        <v>5.0</v>
      </c>
      <c r="F15" s="80" t="s">
        <v>267</v>
      </c>
      <c r="G15" s="80">
        <v>5.0</v>
      </c>
      <c r="H15" s="80" t="s">
        <v>268</v>
      </c>
      <c r="I15" s="80">
        <v>6.0</v>
      </c>
      <c r="J15" s="80" t="s">
        <v>51</v>
      </c>
      <c r="K15" s="80">
        <v>8.0</v>
      </c>
      <c r="L15" s="80" t="s">
        <v>51</v>
      </c>
      <c r="M15" s="80">
        <v>8.0</v>
      </c>
      <c r="N15" s="81" t="s">
        <v>4</v>
      </c>
      <c r="O15" s="80">
        <v>0.0</v>
      </c>
      <c r="P15" s="122">
        <f t="shared" si="1"/>
        <v>40</v>
      </c>
    </row>
    <row r="16">
      <c r="A16" s="123" t="s">
        <v>78</v>
      </c>
      <c r="B16" s="96" t="s">
        <v>51</v>
      </c>
      <c r="C16" s="96">
        <v>8.0</v>
      </c>
      <c r="D16" s="112" t="s">
        <v>4</v>
      </c>
      <c r="E16" s="96">
        <v>0.0</v>
      </c>
      <c r="F16" s="96" t="s">
        <v>51</v>
      </c>
      <c r="G16" s="96">
        <v>8.0</v>
      </c>
      <c r="H16" s="96" t="s">
        <v>51</v>
      </c>
      <c r="I16" s="96">
        <v>8.0</v>
      </c>
      <c r="J16" s="96" t="s">
        <v>51</v>
      </c>
      <c r="K16" s="96">
        <v>8.0</v>
      </c>
      <c r="L16" s="96" t="s">
        <v>51</v>
      </c>
      <c r="M16" s="96">
        <v>8.0</v>
      </c>
      <c r="N16" s="112" t="s">
        <v>4</v>
      </c>
      <c r="O16" s="96">
        <v>0.0</v>
      </c>
      <c r="P16" s="122">
        <f t="shared" si="1"/>
        <v>40</v>
      </c>
    </row>
    <row r="17">
      <c r="A17" s="120" t="s">
        <v>94</v>
      </c>
      <c r="B17" s="96" t="s">
        <v>36</v>
      </c>
      <c r="C17" s="96">
        <v>8.0</v>
      </c>
      <c r="D17" s="112" t="s">
        <v>4</v>
      </c>
      <c r="E17" s="96">
        <v>0.0</v>
      </c>
      <c r="F17" s="96" t="s">
        <v>36</v>
      </c>
      <c r="G17" s="96">
        <v>8.0</v>
      </c>
      <c r="H17" s="96" t="s">
        <v>36</v>
      </c>
      <c r="I17" s="96">
        <v>8.0</v>
      </c>
      <c r="J17" s="96" t="s">
        <v>36</v>
      </c>
      <c r="K17" s="96">
        <v>8.0</v>
      </c>
      <c r="L17" s="96" t="s">
        <v>36</v>
      </c>
      <c r="M17" s="96">
        <v>8.0</v>
      </c>
      <c r="N17" s="112" t="s">
        <v>4</v>
      </c>
      <c r="O17" s="96">
        <v>0.0</v>
      </c>
      <c r="P17" s="122">
        <f t="shared" si="1"/>
        <v>40</v>
      </c>
    </row>
    <row r="18">
      <c r="A18" s="124" t="s">
        <v>86</v>
      </c>
      <c r="B18" s="112" t="s">
        <v>4</v>
      </c>
      <c r="C18" s="96">
        <v>0.0</v>
      </c>
      <c r="D18" s="96" t="s">
        <v>17</v>
      </c>
      <c r="E18" s="96">
        <v>8.0</v>
      </c>
      <c r="F18" s="112" t="s">
        <v>4</v>
      </c>
      <c r="G18" s="96">
        <v>0.0</v>
      </c>
      <c r="H18" s="96" t="s">
        <v>17</v>
      </c>
      <c r="I18" s="96">
        <v>8.0</v>
      </c>
      <c r="J18" s="96" t="s">
        <v>17</v>
      </c>
      <c r="K18" s="96">
        <v>8.0</v>
      </c>
      <c r="L18" s="96" t="s">
        <v>17</v>
      </c>
      <c r="M18" s="96">
        <v>8.0</v>
      </c>
      <c r="N18" s="96" t="s">
        <v>17</v>
      </c>
      <c r="O18" s="96">
        <v>8.0</v>
      </c>
      <c r="P18" s="122">
        <f t="shared" si="1"/>
        <v>40</v>
      </c>
    </row>
    <row r="20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</row>
    <row r="21">
      <c r="A21" s="115" t="s">
        <v>279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</row>
    <row r="22">
      <c r="A22" s="116" t="s">
        <v>65</v>
      </c>
      <c r="B22" s="147">
        <v>46090.0</v>
      </c>
      <c r="C22" s="118"/>
      <c r="D22" s="147">
        <v>46091.0</v>
      </c>
      <c r="E22" s="118"/>
      <c r="F22" s="117" t="s">
        <v>280</v>
      </c>
      <c r="G22" s="118"/>
      <c r="H22" s="147">
        <v>46093.0</v>
      </c>
      <c r="I22" s="118"/>
      <c r="J22" s="147">
        <v>46094.0</v>
      </c>
      <c r="K22" s="118"/>
      <c r="L22" s="147">
        <v>46095.0</v>
      </c>
      <c r="M22" s="118"/>
      <c r="N22" s="147">
        <v>46096.0</v>
      </c>
      <c r="O22" s="118"/>
      <c r="P22" s="117" t="s">
        <v>107</v>
      </c>
      <c r="Q22" s="119" t="s">
        <v>212</v>
      </c>
    </row>
    <row r="23">
      <c r="A23" s="120" t="s">
        <v>82</v>
      </c>
      <c r="B23" s="148" t="s">
        <v>277</v>
      </c>
      <c r="C23" s="96">
        <v>8.0</v>
      </c>
      <c r="D23" s="96" t="s">
        <v>36</v>
      </c>
      <c r="E23" s="96">
        <v>8.0</v>
      </c>
      <c r="F23" s="112" t="s">
        <v>4</v>
      </c>
      <c r="G23" s="96">
        <v>0.0</v>
      </c>
      <c r="H23" s="96" t="s">
        <v>36</v>
      </c>
      <c r="I23" s="96">
        <v>8.0</v>
      </c>
      <c r="J23" s="96" t="s">
        <v>36</v>
      </c>
      <c r="K23" s="96">
        <v>8.0</v>
      </c>
      <c r="L23" s="96" t="s">
        <v>36</v>
      </c>
      <c r="M23" s="96">
        <v>8.0</v>
      </c>
      <c r="N23" s="112" t="s">
        <v>4</v>
      </c>
      <c r="O23" s="96">
        <v>0.0</v>
      </c>
      <c r="P23" s="122">
        <f t="shared" ref="P23:P37" si="2">C23+E23+G23+I23+K23+M23+O23</f>
        <v>40</v>
      </c>
      <c r="Q23" s="77"/>
    </row>
    <row r="24">
      <c r="A24" s="123" t="s">
        <v>90</v>
      </c>
      <c r="B24" s="112" t="s">
        <v>4</v>
      </c>
      <c r="C24" s="96">
        <v>0.0</v>
      </c>
      <c r="D24" s="96" t="s">
        <v>51</v>
      </c>
      <c r="E24" s="96">
        <v>8.0</v>
      </c>
      <c r="F24" s="96" t="s">
        <v>51</v>
      </c>
      <c r="G24" s="96">
        <v>8.0</v>
      </c>
      <c r="H24" s="96" t="s">
        <v>51</v>
      </c>
      <c r="I24" s="96">
        <v>8.0</v>
      </c>
      <c r="J24" s="96" t="s">
        <v>51</v>
      </c>
      <c r="K24" s="96">
        <v>8.0</v>
      </c>
      <c r="L24" s="96" t="s">
        <v>51</v>
      </c>
      <c r="M24" s="96">
        <v>8.0</v>
      </c>
      <c r="N24" s="112" t="s">
        <v>4</v>
      </c>
      <c r="O24" s="96">
        <v>0.0</v>
      </c>
      <c r="P24" s="122">
        <f t="shared" si="2"/>
        <v>40</v>
      </c>
      <c r="Q24" s="61"/>
    </row>
    <row r="25">
      <c r="A25" s="123" t="s">
        <v>88</v>
      </c>
      <c r="B25" s="96" t="s">
        <v>36</v>
      </c>
      <c r="C25" s="96">
        <v>8.0</v>
      </c>
      <c r="D25" s="96" t="s">
        <v>36</v>
      </c>
      <c r="E25" s="96">
        <v>8.0</v>
      </c>
      <c r="F25" s="112" t="s">
        <v>4</v>
      </c>
      <c r="G25" s="96">
        <v>0.0</v>
      </c>
      <c r="H25" s="96" t="s">
        <v>36</v>
      </c>
      <c r="I25" s="96">
        <v>8.0</v>
      </c>
      <c r="J25" s="96" t="s">
        <v>36</v>
      </c>
      <c r="K25" s="96">
        <v>8.0</v>
      </c>
      <c r="L25" s="96" t="s">
        <v>36</v>
      </c>
      <c r="M25" s="96">
        <v>8.0</v>
      </c>
      <c r="N25" s="112" t="s">
        <v>4</v>
      </c>
      <c r="O25" s="96">
        <v>0.0</v>
      </c>
      <c r="P25" s="122">
        <f t="shared" si="2"/>
        <v>40</v>
      </c>
      <c r="Q25" s="61"/>
    </row>
    <row r="26">
      <c r="A26" s="120" t="s">
        <v>70</v>
      </c>
      <c r="B26" s="96" t="s">
        <v>51</v>
      </c>
      <c r="C26" s="96">
        <v>8.0</v>
      </c>
      <c r="D26" s="96" t="s">
        <v>51</v>
      </c>
      <c r="E26" s="96">
        <v>8.0</v>
      </c>
      <c r="F26" s="112" t="s">
        <v>4</v>
      </c>
      <c r="G26" s="96">
        <v>0.0</v>
      </c>
      <c r="H26" s="96" t="s">
        <v>51</v>
      </c>
      <c r="I26" s="96">
        <v>8.0</v>
      </c>
      <c r="J26" s="96" t="s">
        <v>51</v>
      </c>
      <c r="K26" s="96">
        <v>8.0</v>
      </c>
      <c r="L26" s="96" t="s">
        <v>51</v>
      </c>
      <c r="M26" s="96">
        <v>8.0</v>
      </c>
      <c r="N26" s="112" t="s">
        <v>4</v>
      </c>
      <c r="O26" s="96">
        <v>0.0</v>
      </c>
      <c r="P26" s="122">
        <f t="shared" si="2"/>
        <v>40</v>
      </c>
      <c r="Q26" s="61"/>
    </row>
    <row r="27">
      <c r="A27" s="120" t="s">
        <v>72</v>
      </c>
      <c r="B27" s="112" t="s">
        <v>4</v>
      </c>
      <c r="C27" s="96">
        <v>0.0</v>
      </c>
      <c r="D27" s="156" t="s">
        <v>51</v>
      </c>
      <c r="E27" s="156">
        <v>8.0</v>
      </c>
      <c r="F27" s="156" t="s">
        <v>51</v>
      </c>
      <c r="G27" s="156">
        <v>8.0</v>
      </c>
      <c r="H27" s="156" t="s">
        <v>51</v>
      </c>
      <c r="I27" s="156">
        <v>8.0</v>
      </c>
      <c r="J27" s="156" t="s">
        <v>51</v>
      </c>
      <c r="K27" s="156">
        <v>8.0</v>
      </c>
      <c r="L27" s="156" t="s">
        <v>51</v>
      </c>
      <c r="M27" s="156">
        <v>8.0</v>
      </c>
      <c r="N27" s="112" t="s">
        <v>4</v>
      </c>
      <c r="O27" s="96">
        <v>0.0</v>
      </c>
      <c r="P27" s="122">
        <f t="shared" si="2"/>
        <v>40</v>
      </c>
      <c r="Q27" s="77" t="s">
        <v>281</v>
      </c>
    </row>
    <row r="28">
      <c r="A28" s="120" t="s">
        <v>96</v>
      </c>
      <c r="B28" s="96" t="s">
        <v>51</v>
      </c>
      <c r="C28" s="96">
        <v>8.0</v>
      </c>
      <c r="D28" s="96" t="s">
        <v>51</v>
      </c>
      <c r="E28" s="96">
        <v>8.0</v>
      </c>
      <c r="F28" s="96" t="s">
        <v>51</v>
      </c>
      <c r="G28" s="96">
        <v>8.0</v>
      </c>
      <c r="H28" s="96" t="s">
        <v>51</v>
      </c>
      <c r="I28" s="96">
        <v>8.0</v>
      </c>
      <c r="J28" s="96" t="s">
        <v>51</v>
      </c>
      <c r="K28" s="96">
        <v>8.0</v>
      </c>
      <c r="L28" s="112" t="s">
        <v>4</v>
      </c>
      <c r="M28" s="96">
        <v>0.0</v>
      </c>
      <c r="N28" s="112" t="s">
        <v>4</v>
      </c>
      <c r="O28" s="96">
        <v>0.0</v>
      </c>
      <c r="P28" s="122">
        <f t="shared" si="2"/>
        <v>40</v>
      </c>
      <c r="Q28" s="61"/>
    </row>
    <row r="29">
      <c r="A29" s="120" t="s">
        <v>92</v>
      </c>
      <c r="B29" s="96" t="s">
        <v>51</v>
      </c>
      <c r="C29" s="96">
        <v>8.0</v>
      </c>
      <c r="D29" s="112" t="s">
        <v>4</v>
      </c>
      <c r="E29" s="96">
        <v>0.0</v>
      </c>
      <c r="F29" s="96" t="s">
        <v>51</v>
      </c>
      <c r="G29" s="96">
        <v>8.0</v>
      </c>
      <c r="H29" s="96" t="s">
        <v>51</v>
      </c>
      <c r="I29" s="96">
        <v>8.0</v>
      </c>
      <c r="J29" s="96" t="s">
        <v>51</v>
      </c>
      <c r="K29" s="96">
        <v>8.0</v>
      </c>
      <c r="L29" s="96" t="s">
        <v>51</v>
      </c>
      <c r="M29" s="96">
        <v>8.0</v>
      </c>
      <c r="N29" s="112" t="s">
        <v>4</v>
      </c>
      <c r="O29" s="96">
        <v>0.0</v>
      </c>
      <c r="P29" s="122">
        <f t="shared" si="2"/>
        <v>40</v>
      </c>
      <c r="Q29" s="77"/>
    </row>
    <row r="30">
      <c r="A30" s="124" t="s">
        <v>76</v>
      </c>
      <c r="B30" s="96" t="s">
        <v>51</v>
      </c>
      <c r="C30" s="96">
        <v>8.0</v>
      </c>
      <c r="D30" s="112" t="s">
        <v>4</v>
      </c>
      <c r="E30" s="96">
        <v>0.0</v>
      </c>
      <c r="F30" s="112" t="s">
        <v>4</v>
      </c>
      <c r="G30" s="96">
        <v>0.0</v>
      </c>
      <c r="H30" s="96" t="s">
        <v>51</v>
      </c>
      <c r="I30" s="96">
        <v>8.0</v>
      </c>
      <c r="J30" s="96" t="s">
        <v>51</v>
      </c>
      <c r="K30" s="96">
        <v>8.0</v>
      </c>
      <c r="L30" s="96" t="s">
        <v>51</v>
      </c>
      <c r="M30" s="96">
        <v>8.0</v>
      </c>
      <c r="N30" s="96" t="s">
        <v>51</v>
      </c>
      <c r="O30" s="96">
        <v>8.0</v>
      </c>
      <c r="P30" s="122">
        <f t="shared" si="2"/>
        <v>40</v>
      </c>
      <c r="Q30" s="77"/>
    </row>
    <row r="31">
      <c r="A31" s="120" t="s">
        <v>74</v>
      </c>
      <c r="B31" s="112" t="s">
        <v>4</v>
      </c>
      <c r="C31" s="96">
        <v>0.0</v>
      </c>
      <c r="D31" s="96" t="s">
        <v>17</v>
      </c>
      <c r="E31" s="96">
        <v>8.0</v>
      </c>
      <c r="F31" s="156" t="s">
        <v>17</v>
      </c>
      <c r="G31" s="156">
        <v>8.0</v>
      </c>
      <c r="H31" s="156" t="s">
        <v>17</v>
      </c>
      <c r="I31" s="156">
        <v>8.0</v>
      </c>
      <c r="J31" s="156" t="s">
        <v>17</v>
      </c>
      <c r="K31" s="156">
        <v>8.0</v>
      </c>
      <c r="L31" s="156" t="s">
        <v>17</v>
      </c>
      <c r="M31" s="156">
        <v>8.0</v>
      </c>
      <c r="N31" s="112" t="s">
        <v>4</v>
      </c>
      <c r="O31" s="96">
        <v>0.0</v>
      </c>
      <c r="P31" s="122">
        <f t="shared" si="2"/>
        <v>40</v>
      </c>
      <c r="Q31" s="77" t="s">
        <v>282</v>
      </c>
    </row>
    <row r="32">
      <c r="A32" s="120" t="s">
        <v>84</v>
      </c>
      <c r="B32" s="96" t="s">
        <v>51</v>
      </c>
      <c r="C32" s="96">
        <v>8.0</v>
      </c>
      <c r="D32" s="96" t="s">
        <v>267</v>
      </c>
      <c r="E32" s="96">
        <v>5.0</v>
      </c>
      <c r="F32" s="96" t="s">
        <v>267</v>
      </c>
      <c r="G32" s="96">
        <v>5.0</v>
      </c>
      <c r="H32" s="96" t="s">
        <v>268</v>
      </c>
      <c r="I32" s="96">
        <v>6.0</v>
      </c>
      <c r="J32" s="96" t="s">
        <v>51</v>
      </c>
      <c r="K32" s="96">
        <v>8.0</v>
      </c>
      <c r="L32" s="96" t="s">
        <v>51</v>
      </c>
      <c r="M32" s="96">
        <v>8.0</v>
      </c>
      <c r="N32" s="96" t="s">
        <v>268</v>
      </c>
      <c r="O32" s="96">
        <v>6.0</v>
      </c>
      <c r="P32" s="122">
        <f t="shared" si="2"/>
        <v>46</v>
      </c>
      <c r="Q32" s="77"/>
    </row>
    <row r="33">
      <c r="A33" s="120" t="s">
        <v>98</v>
      </c>
      <c r="B33" s="112" t="s">
        <v>4</v>
      </c>
      <c r="C33" s="96">
        <v>0.0</v>
      </c>
      <c r="D33" s="96" t="s">
        <v>51</v>
      </c>
      <c r="E33" s="96">
        <v>8.0</v>
      </c>
      <c r="F33" s="96" t="s">
        <v>51</v>
      </c>
      <c r="G33" s="96">
        <v>8.0</v>
      </c>
      <c r="H33" s="96" t="s">
        <v>51</v>
      </c>
      <c r="I33" s="96">
        <v>8.0</v>
      </c>
      <c r="J33" s="96" t="s">
        <v>51</v>
      </c>
      <c r="K33" s="96">
        <v>8.0</v>
      </c>
      <c r="L33" s="96" t="s">
        <v>51</v>
      </c>
      <c r="M33" s="96">
        <v>8.0</v>
      </c>
      <c r="N33" s="112" t="s">
        <v>4</v>
      </c>
      <c r="O33" s="96">
        <v>0.0</v>
      </c>
      <c r="P33" s="122">
        <f t="shared" si="2"/>
        <v>40</v>
      </c>
      <c r="Q33" s="61"/>
    </row>
    <row r="34">
      <c r="A34" s="161" t="s">
        <v>80</v>
      </c>
      <c r="B34" s="80" t="s">
        <v>51</v>
      </c>
      <c r="C34" s="80">
        <v>8.0</v>
      </c>
      <c r="D34" s="80" t="s">
        <v>267</v>
      </c>
      <c r="E34" s="80">
        <v>5.0</v>
      </c>
      <c r="F34" s="80" t="s">
        <v>267</v>
      </c>
      <c r="G34" s="80">
        <v>5.0</v>
      </c>
      <c r="H34" s="80" t="s">
        <v>268</v>
      </c>
      <c r="I34" s="80">
        <v>6.0</v>
      </c>
      <c r="J34" s="80" t="s">
        <v>51</v>
      </c>
      <c r="K34" s="80">
        <v>8.0</v>
      </c>
      <c r="L34" s="80" t="s">
        <v>51</v>
      </c>
      <c r="M34" s="80">
        <v>8.0</v>
      </c>
      <c r="N34" s="81" t="s">
        <v>4</v>
      </c>
      <c r="O34" s="80">
        <v>0.0</v>
      </c>
      <c r="P34" s="122">
        <f t="shared" si="2"/>
        <v>40</v>
      </c>
      <c r="Q34" s="61"/>
    </row>
    <row r="35">
      <c r="A35" s="123" t="s">
        <v>78</v>
      </c>
      <c r="B35" s="96" t="s">
        <v>51</v>
      </c>
      <c r="C35" s="96">
        <v>8.0</v>
      </c>
      <c r="D35" s="112" t="s">
        <v>4</v>
      </c>
      <c r="E35" s="96">
        <v>0.0</v>
      </c>
      <c r="F35" s="96" t="s">
        <v>51</v>
      </c>
      <c r="G35" s="96">
        <v>8.0</v>
      </c>
      <c r="H35" s="96" t="s">
        <v>51</v>
      </c>
      <c r="I35" s="96">
        <v>8.0</v>
      </c>
      <c r="J35" s="96" t="s">
        <v>51</v>
      </c>
      <c r="K35" s="96">
        <v>8.0</v>
      </c>
      <c r="L35" s="96" t="s">
        <v>51</v>
      </c>
      <c r="M35" s="96">
        <v>8.0</v>
      </c>
      <c r="N35" s="112" t="s">
        <v>4</v>
      </c>
      <c r="O35" s="96">
        <v>0.0</v>
      </c>
      <c r="P35" s="122">
        <f t="shared" si="2"/>
        <v>40</v>
      </c>
      <c r="Q35" s="61"/>
    </row>
    <row r="36">
      <c r="A36" s="120" t="s">
        <v>94</v>
      </c>
      <c r="B36" s="96" t="s">
        <v>36</v>
      </c>
      <c r="C36" s="96">
        <v>8.0</v>
      </c>
      <c r="D36" s="96" t="s">
        <v>36</v>
      </c>
      <c r="E36" s="96">
        <v>8.0</v>
      </c>
      <c r="F36" s="112" t="s">
        <v>4</v>
      </c>
      <c r="G36" s="96">
        <v>0.0</v>
      </c>
      <c r="H36" s="96" t="s">
        <v>36</v>
      </c>
      <c r="I36" s="96">
        <v>8.0</v>
      </c>
      <c r="J36" s="96" t="s">
        <v>36</v>
      </c>
      <c r="K36" s="96">
        <v>8.0</v>
      </c>
      <c r="L36" s="96" t="s">
        <v>36</v>
      </c>
      <c r="M36" s="96">
        <v>8.0</v>
      </c>
      <c r="N36" s="112" t="s">
        <v>4</v>
      </c>
      <c r="O36" s="96">
        <v>0.0</v>
      </c>
      <c r="P36" s="122">
        <f t="shared" si="2"/>
        <v>40</v>
      </c>
      <c r="Q36" s="61"/>
    </row>
    <row r="37">
      <c r="A37" s="124" t="s">
        <v>86</v>
      </c>
      <c r="B37" s="112" t="s">
        <v>4</v>
      </c>
      <c r="C37" s="96">
        <v>0.0</v>
      </c>
      <c r="D37" s="112" t="s">
        <v>4</v>
      </c>
      <c r="E37" s="96">
        <v>0.0</v>
      </c>
      <c r="F37" s="96" t="s">
        <v>17</v>
      </c>
      <c r="G37" s="96">
        <v>8.0</v>
      </c>
      <c r="H37" s="96" t="s">
        <v>17</v>
      </c>
      <c r="I37" s="96">
        <v>8.0</v>
      </c>
      <c r="J37" s="96" t="s">
        <v>17</v>
      </c>
      <c r="K37" s="96">
        <v>8.0</v>
      </c>
      <c r="L37" s="96" t="s">
        <v>17</v>
      </c>
      <c r="M37" s="96">
        <v>8.0</v>
      </c>
      <c r="N37" s="96" t="s">
        <v>17</v>
      </c>
      <c r="O37" s="96">
        <v>8.0</v>
      </c>
      <c r="P37" s="122">
        <f t="shared" si="2"/>
        <v>40</v>
      </c>
      <c r="Q37" s="61"/>
    </row>
    <row r="39">
      <c r="A39" s="115" t="s">
        <v>283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</row>
    <row r="40">
      <c r="A40" s="116" t="s">
        <v>65</v>
      </c>
      <c r="B40" s="147">
        <v>46097.0</v>
      </c>
      <c r="C40" s="118"/>
      <c r="D40" s="147">
        <v>46098.0</v>
      </c>
      <c r="E40" s="118"/>
      <c r="F40" s="117" t="s">
        <v>284</v>
      </c>
      <c r="G40" s="118"/>
      <c r="H40" s="147">
        <v>46100.0</v>
      </c>
      <c r="I40" s="118"/>
      <c r="J40" s="147">
        <v>46101.0</v>
      </c>
      <c r="K40" s="118"/>
      <c r="L40" s="147">
        <v>46102.0</v>
      </c>
      <c r="M40" s="118"/>
      <c r="N40" s="147">
        <v>46103.0</v>
      </c>
      <c r="O40" s="118"/>
      <c r="P40" s="117" t="s">
        <v>107</v>
      </c>
    </row>
    <row r="41">
      <c r="A41" s="120" t="s">
        <v>82</v>
      </c>
      <c r="B41" s="148" t="s">
        <v>277</v>
      </c>
      <c r="C41" s="96">
        <v>8.0</v>
      </c>
      <c r="D41" s="96" t="s">
        <v>36</v>
      </c>
      <c r="E41" s="96">
        <v>8.0</v>
      </c>
      <c r="F41" s="112" t="s">
        <v>4</v>
      </c>
      <c r="G41" s="96">
        <v>0.0</v>
      </c>
      <c r="H41" s="96" t="s">
        <v>36</v>
      </c>
      <c r="I41" s="96">
        <v>8.0</v>
      </c>
      <c r="J41" s="96" t="s">
        <v>36</v>
      </c>
      <c r="K41" s="96">
        <v>8.0</v>
      </c>
      <c r="L41" s="96" t="s">
        <v>36</v>
      </c>
      <c r="M41" s="96">
        <v>8.0</v>
      </c>
      <c r="N41" s="112" t="s">
        <v>4</v>
      </c>
      <c r="O41" s="96">
        <v>0.0</v>
      </c>
      <c r="P41" s="122">
        <f t="shared" ref="P41:P55" si="3">C41+E41+G41+I41+K41+M41+O41</f>
        <v>40</v>
      </c>
    </row>
    <row r="42">
      <c r="A42" s="123" t="s">
        <v>90</v>
      </c>
      <c r="B42" s="112" t="s">
        <v>4</v>
      </c>
      <c r="C42" s="96">
        <v>0.0</v>
      </c>
      <c r="D42" s="96" t="s">
        <v>51</v>
      </c>
      <c r="E42" s="96">
        <v>8.0</v>
      </c>
      <c r="F42" s="96" t="s">
        <v>51</v>
      </c>
      <c r="G42" s="96">
        <v>8.0</v>
      </c>
      <c r="H42" s="96" t="s">
        <v>51</v>
      </c>
      <c r="I42" s="96">
        <v>8.0</v>
      </c>
      <c r="J42" s="96" t="s">
        <v>51</v>
      </c>
      <c r="K42" s="96">
        <v>8.0</v>
      </c>
      <c r="L42" s="96" t="s">
        <v>51</v>
      </c>
      <c r="M42" s="96">
        <v>8.0</v>
      </c>
      <c r="N42" s="112" t="s">
        <v>4</v>
      </c>
      <c r="O42" s="96">
        <v>0.0</v>
      </c>
      <c r="P42" s="122">
        <f t="shared" si="3"/>
        <v>40</v>
      </c>
    </row>
    <row r="43">
      <c r="A43" s="123" t="s">
        <v>88</v>
      </c>
      <c r="B43" s="96" t="s">
        <v>36</v>
      </c>
      <c r="C43" s="96">
        <v>8.0</v>
      </c>
      <c r="D43" s="96" t="s">
        <v>36</v>
      </c>
      <c r="E43" s="96">
        <v>8.0</v>
      </c>
      <c r="F43" s="112" t="s">
        <v>4</v>
      </c>
      <c r="G43" s="96">
        <v>0.0</v>
      </c>
      <c r="H43" s="96" t="s">
        <v>36</v>
      </c>
      <c r="I43" s="96">
        <v>8.0</v>
      </c>
      <c r="J43" s="96" t="s">
        <v>36</v>
      </c>
      <c r="K43" s="96">
        <v>8.0</v>
      </c>
      <c r="L43" s="96" t="s">
        <v>36</v>
      </c>
      <c r="M43" s="96">
        <v>8.0</v>
      </c>
      <c r="N43" s="112" t="s">
        <v>4</v>
      </c>
      <c r="O43" s="96">
        <v>0.0</v>
      </c>
      <c r="P43" s="122">
        <f t="shared" si="3"/>
        <v>40</v>
      </c>
    </row>
    <row r="44">
      <c r="A44" s="120" t="s">
        <v>70</v>
      </c>
      <c r="B44" s="96" t="s">
        <v>51</v>
      </c>
      <c r="C44" s="96">
        <v>8.0</v>
      </c>
      <c r="D44" s="96" t="s">
        <v>51</v>
      </c>
      <c r="E44" s="96">
        <v>8.0</v>
      </c>
      <c r="F44" s="112" t="s">
        <v>4</v>
      </c>
      <c r="G44" s="96">
        <v>0.0</v>
      </c>
      <c r="H44" s="149" t="s">
        <v>234</v>
      </c>
      <c r="I44" s="154"/>
      <c r="J44" s="149" t="s">
        <v>234</v>
      </c>
      <c r="K44" s="154"/>
      <c r="L44" s="149" t="s">
        <v>234</v>
      </c>
      <c r="M44" s="154"/>
      <c r="N44" s="112" t="s">
        <v>4</v>
      </c>
      <c r="O44" s="96">
        <v>0.0</v>
      </c>
      <c r="P44" s="122">
        <f t="shared" si="3"/>
        <v>16</v>
      </c>
    </row>
    <row r="45">
      <c r="A45" s="120" t="s">
        <v>72</v>
      </c>
      <c r="B45" s="112" t="s">
        <v>4</v>
      </c>
      <c r="C45" s="96">
        <v>0.0</v>
      </c>
      <c r="D45" s="96" t="s">
        <v>51</v>
      </c>
      <c r="E45" s="96">
        <v>8.0</v>
      </c>
      <c r="F45" s="96" t="s">
        <v>51</v>
      </c>
      <c r="G45" s="96">
        <v>8.0</v>
      </c>
      <c r="H45" s="96" t="s">
        <v>51</v>
      </c>
      <c r="I45" s="96">
        <v>8.0</v>
      </c>
      <c r="J45" s="96" t="s">
        <v>51</v>
      </c>
      <c r="K45" s="96">
        <v>8.0</v>
      </c>
      <c r="L45" s="96" t="s">
        <v>51</v>
      </c>
      <c r="M45" s="96">
        <v>8.0</v>
      </c>
      <c r="N45" s="112" t="s">
        <v>4</v>
      </c>
      <c r="O45" s="96">
        <v>0.0</v>
      </c>
      <c r="P45" s="122">
        <f t="shared" si="3"/>
        <v>40</v>
      </c>
    </row>
    <row r="46">
      <c r="A46" s="120" t="s">
        <v>96</v>
      </c>
      <c r="B46" s="96" t="s">
        <v>51</v>
      </c>
      <c r="C46" s="96">
        <v>8.0</v>
      </c>
      <c r="D46" s="96" t="s">
        <v>51</v>
      </c>
      <c r="E46" s="96">
        <v>8.0</v>
      </c>
      <c r="F46" s="112" t="s">
        <v>4</v>
      </c>
      <c r="G46" s="96">
        <v>0.0</v>
      </c>
      <c r="H46" s="96" t="s">
        <v>51</v>
      </c>
      <c r="I46" s="96">
        <v>8.0</v>
      </c>
      <c r="J46" s="96" t="s">
        <v>51</v>
      </c>
      <c r="K46" s="96">
        <v>8.0</v>
      </c>
      <c r="L46" s="96" t="s">
        <v>51</v>
      </c>
      <c r="M46" s="96">
        <v>8.0</v>
      </c>
      <c r="N46" s="112" t="s">
        <v>4</v>
      </c>
      <c r="O46" s="96">
        <v>0.0</v>
      </c>
      <c r="P46" s="122">
        <f t="shared" si="3"/>
        <v>40</v>
      </c>
    </row>
    <row r="47">
      <c r="A47" s="120" t="s">
        <v>92</v>
      </c>
      <c r="B47" s="96" t="s">
        <v>51</v>
      </c>
      <c r="C47" s="96">
        <v>8.0</v>
      </c>
      <c r="D47" s="112" t="s">
        <v>4</v>
      </c>
      <c r="E47" s="96">
        <v>0.0</v>
      </c>
      <c r="F47" s="96" t="s">
        <v>51</v>
      </c>
      <c r="G47" s="96">
        <v>8.0</v>
      </c>
      <c r="H47" s="96" t="s">
        <v>51</v>
      </c>
      <c r="I47" s="96">
        <v>8.0</v>
      </c>
      <c r="J47" s="96" t="s">
        <v>51</v>
      </c>
      <c r="K47" s="96">
        <v>8.0</v>
      </c>
      <c r="L47" s="96" t="s">
        <v>51</v>
      </c>
      <c r="M47" s="96">
        <v>8.0</v>
      </c>
      <c r="N47" s="112" t="s">
        <v>4</v>
      </c>
      <c r="O47" s="96">
        <v>0.0</v>
      </c>
      <c r="P47" s="122">
        <f t="shared" si="3"/>
        <v>40</v>
      </c>
    </row>
    <row r="48">
      <c r="A48" s="124" t="s">
        <v>76</v>
      </c>
      <c r="B48" s="96" t="s">
        <v>51</v>
      </c>
      <c r="C48" s="96">
        <v>8.0</v>
      </c>
      <c r="D48" s="112" t="s">
        <v>4</v>
      </c>
      <c r="E48" s="96">
        <v>0.0</v>
      </c>
      <c r="F48" s="112" t="s">
        <v>4</v>
      </c>
      <c r="G48" s="96">
        <v>0.0</v>
      </c>
      <c r="H48" s="96" t="s">
        <v>51</v>
      </c>
      <c r="I48" s="96">
        <v>8.0</v>
      </c>
      <c r="J48" s="96" t="s">
        <v>51</v>
      </c>
      <c r="K48" s="96">
        <v>8.0</v>
      </c>
      <c r="L48" s="96" t="s">
        <v>51</v>
      </c>
      <c r="M48" s="96">
        <v>8.0</v>
      </c>
      <c r="N48" s="96" t="s">
        <v>51</v>
      </c>
      <c r="O48" s="96">
        <v>8.0</v>
      </c>
      <c r="P48" s="122">
        <f t="shared" si="3"/>
        <v>40</v>
      </c>
    </row>
    <row r="49">
      <c r="A49" s="120" t="s">
        <v>74</v>
      </c>
      <c r="B49" s="112" t="s">
        <v>4</v>
      </c>
      <c r="C49" s="96">
        <v>0.0</v>
      </c>
      <c r="D49" s="96" t="s">
        <v>17</v>
      </c>
      <c r="E49" s="96">
        <v>8.0</v>
      </c>
      <c r="F49" s="96" t="s">
        <v>17</v>
      </c>
      <c r="G49" s="96">
        <v>8.0</v>
      </c>
      <c r="H49" s="96" t="s">
        <v>17</v>
      </c>
      <c r="I49" s="96">
        <v>8.0</v>
      </c>
      <c r="J49" s="96" t="s">
        <v>17</v>
      </c>
      <c r="K49" s="96">
        <v>8.0</v>
      </c>
      <c r="L49" s="96" t="s">
        <v>17</v>
      </c>
      <c r="M49" s="96">
        <v>8.0</v>
      </c>
      <c r="N49" s="112" t="s">
        <v>4</v>
      </c>
      <c r="O49" s="96">
        <v>0.0</v>
      </c>
      <c r="P49" s="122">
        <f t="shared" si="3"/>
        <v>40</v>
      </c>
    </row>
    <row r="50">
      <c r="A50" s="120" t="s">
        <v>84</v>
      </c>
      <c r="B50" s="96" t="s">
        <v>51</v>
      </c>
      <c r="C50" s="96">
        <v>8.0</v>
      </c>
      <c r="D50" s="96" t="s">
        <v>267</v>
      </c>
      <c r="E50" s="96">
        <v>5.0</v>
      </c>
      <c r="F50" s="96" t="s">
        <v>267</v>
      </c>
      <c r="G50" s="96">
        <v>5.0</v>
      </c>
      <c r="H50" s="112" t="s">
        <v>4</v>
      </c>
      <c r="I50" s="96">
        <v>0.0</v>
      </c>
      <c r="J50" s="162" t="s">
        <v>51</v>
      </c>
      <c r="K50" s="96">
        <v>0.0</v>
      </c>
      <c r="L50" s="96" t="s">
        <v>51</v>
      </c>
      <c r="M50" s="96">
        <v>8.0</v>
      </c>
      <c r="N50" s="112" t="s">
        <v>4</v>
      </c>
      <c r="O50" s="96">
        <v>0.0</v>
      </c>
      <c r="P50" s="122">
        <f t="shared" si="3"/>
        <v>26</v>
      </c>
    </row>
    <row r="51">
      <c r="A51" s="120" t="s">
        <v>98</v>
      </c>
      <c r="B51" s="112" t="s">
        <v>4</v>
      </c>
      <c r="C51" s="96">
        <v>0.0</v>
      </c>
      <c r="D51" s="96" t="s">
        <v>51</v>
      </c>
      <c r="E51" s="96">
        <v>8.0</v>
      </c>
      <c r="F51" s="96" t="s">
        <v>51</v>
      </c>
      <c r="G51" s="96">
        <v>8.0</v>
      </c>
      <c r="H51" s="96" t="s">
        <v>51</v>
      </c>
      <c r="I51" s="96">
        <v>8.0</v>
      </c>
      <c r="J51" s="96" t="s">
        <v>51</v>
      </c>
      <c r="K51" s="96">
        <v>8.0</v>
      </c>
      <c r="L51" s="96" t="s">
        <v>51</v>
      </c>
      <c r="M51" s="96">
        <v>8.0</v>
      </c>
      <c r="N51" s="112" t="s">
        <v>4</v>
      </c>
      <c r="O51" s="96">
        <v>0.0</v>
      </c>
      <c r="P51" s="122">
        <f t="shared" si="3"/>
        <v>40</v>
      </c>
    </row>
    <row r="52">
      <c r="A52" s="161" t="s">
        <v>80</v>
      </c>
      <c r="B52" s="80" t="s">
        <v>51</v>
      </c>
      <c r="C52" s="80">
        <v>8.0</v>
      </c>
      <c r="D52" s="80" t="s">
        <v>267</v>
      </c>
      <c r="E52" s="80">
        <v>5.0</v>
      </c>
      <c r="F52" s="80" t="s">
        <v>267</v>
      </c>
      <c r="G52" s="80">
        <v>5.0</v>
      </c>
      <c r="H52" s="80" t="s">
        <v>268</v>
      </c>
      <c r="I52" s="80">
        <v>6.0</v>
      </c>
      <c r="J52" s="80" t="s">
        <v>51</v>
      </c>
      <c r="K52" s="80">
        <v>8.0</v>
      </c>
      <c r="L52" s="80" t="s">
        <v>51</v>
      </c>
      <c r="M52" s="80">
        <v>8.0</v>
      </c>
      <c r="N52" s="81" t="s">
        <v>4</v>
      </c>
      <c r="O52" s="80">
        <v>0.0</v>
      </c>
      <c r="P52" s="122">
        <f t="shared" si="3"/>
        <v>40</v>
      </c>
    </row>
    <row r="53">
      <c r="A53" s="123" t="s">
        <v>78</v>
      </c>
      <c r="B53" s="96" t="s">
        <v>51</v>
      </c>
      <c r="C53" s="96">
        <v>8.0</v>
      </c>
      <c r="D53" s="112" t="s">
        <v>4</v>
      </c>
      <c r="E53" s="96">
        <v>0.0</v>
      </c>
      <c r="F53" s="96" t="s">
        <v>51</v>
      </c>
      <c r="G53" s="96">
        <v>8.0</v>
      </c>
      <c r="H53" s="121" t="s">
        <v>278</v>
      </c>
      <c r="I53" s="96">
        <v>8.0</v>
      </c>
      <c r="J53" s="149" t="s">
        <v>234</v>
      </c>
      <c r="K53" s="154"/>
      <c r="L53" s="96" t="s">
        <v>51</v>
      </c>
      <c r="M53" s="96">
        <v>8.0</v>
      </c>
      <c r="N53" s="112" t="s">
        <v>4</v>
      </c>
      <c r="O53" s="96">
        <v>0.0</v>
      </c>
      <c r="P53" s="122">
        <f t="shared" si="3"/>
        <v>32</v>
      </c>
    </row>
    <row r="54">
      <c r="A54" s="120" t="s">
        <v>94</v>
      </c>
      <c r="B54" s="96" t="s">
        <v>36</v>
      </c>
      <c r="C54" s="96">
        <v>8.0</v>
      </c>
      <c r="D54" s="112" t="s">
        <v>4</v>
      </c>
      <c r="E54" s="96">
        <v>0.0</v>
      </c>
      <c r="F54" s="96" t="s">
        <v>36</v>
      </c>
      <c r="G54" s="96">
        <v>8.0</v>
      </c>
      <c r="H54" s="121" t="s">
        <v>278</v>
      </c>
      <c r="I54" s="96">
        <v>8.0</v>
      </c>
      <c r="J54" s="96" t="s">
        <v>36</v>
      </c>
      <c r="K54" s="96">
        <v>8.0</v>
      </c>
      <c r="L54" s="96" t="s">
        <v>36</v>
      </c>
      <c r="M54" s="96">
        <v>8.0</v>
      </c>
      <c r="N54" s="112" t="s">
        <v>4</v>
      </c>
      <c r="O54" s="96">
        <v>0.0</v>
      </c>
      <c r="P54" s="122">
        <f t="shared" si="3"/>
        <v>40</v>
      </c>
    </row>
    <row r="55">
      <c r="A55" s="124" t="s">
        <v>86</v>
      </c>
      <c r="B55" s="112" t="s">
        <v>4</v>
      </c>
      <c r="C55" s="96">
        <v>0.0</v>
      </c>
      <c r="D55" s="112" t="s">
        <v>4</v>
      </c>
      <c r="E55" s="96">
        <v>0.0</v>
      </c>
      <c r="F55" s="96" t="s">
        <v>17</v>
      </c>
      <c r="G55" s="96">
        <v>8.0</v>
      </c>
      <c r="H55" s="96" t="s">
        <v>17</v>
      </c>
      <c r="I55" s="96">
        <v>8.0</v>
      </c>
      <c r="J55" s="96" t="s">
        <v>17</v>
      </c>
      <c r="K55" s="96">
        <v>8.0</v>
      </c>
      <c r="L55" s="96" t="s">
        <v>17</v>
      </c>
      <c r="M55" s="96">
        <v>8.0</v>
      </c>
      <c r="N55" s="96" t="s">
        <v>17</v>
      </c>
      <c r="O55" s="96">
        <v>8.0</v>
      </c>
      <c r="P55" s="122">
        <f t="shared" si="3"/>
        <v>40</v>
      </c>
    </row>
    <row r="57">
      <c r="A57" s="115" t="s">
        <v>285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</row>
    <row r="58">
      <c r="A58" s="116" t="s">
        <v>65</v>
      </c>
      <c r="B58" s="158">
        <v>46104.0</v>
      </c>
      <c r="C58" s="141"/>
      <c r="D58" s="158">
        <v>46105.0</v>
      </c>
      <c r="E58" s="141"/>
      <c r="F58" s="140" t="s">
        <v>286</v>
      </c>
      <c r="G58" s="141"/>
      <c r="H58" s="158">
        <v>46107.0</v>
      </c>
      <c r="I58" s="141"/>
      <c r="J58" s="158">
        <v>46108.0</v>
      </c>
      <c r="K58" s="141"/>
      <c r="L58" s="158">
        <v>46109.0</v>
      </c>
      <c r="M58" s="141"/>
      <c r="N58" s="158">
        <v>46110.0</v>
      </c>
      <c r="O58" s="141"/>
      <c r="P58" s="117" t="s">
        <v>107</v>
      </c>
    </row>
    <row r="59">
      <c r="A59" s="120" t="s">
        <v>82</v>
      </c>
      <c r="B59" s="148" t="s">
        <v>277</v>
      </c>
      <c r="C59" s="107">
        <v>8.0</v>
      </c>
      <c r="D59" s="107" t="s">
        <v>51</v>
      </c>
      <c r="E59" s="107">
        <v>8.0</v>
      </c>
      <c r="F59" s="159" t="s">
        <v>4</v>
      </c>
      <c r="G59" s="107">
        <v>0.0</v>
      </c>
      <c r="H59" s="107" t="s">
        <v>51</v>
      </c>
      <c r="I59" s="107">
        <v>8.0</v>
      </c>
      <c r="J59" s="107" t="s">
        <v>51</v>
      </c>
      <c r="K59" s="107">
        <v>8.0</v>
      </c>
      <c r="L59" s="107" t="s">
        <v>51</v>
      </c>
      <c r="M59" s="107">
        <v>8.0</v>
      </c>
      <c r="N59" s="159" t="s">
        <v>4</v>
      </c>
      <c r="O59" s="107">
        <v>0.0</v>
      </c>
      <c r="P59" s="122">
        <f t="shared" ref="P59:P73" si="4">C59+E59+G59+I59+K59+M59+O59</f>
        <v>40</v>
      </c>
    </row>
    <row r="60">
      <c r="A60" s="123" t="s">
        <v>90</v>
      </c>
      <c r="B60" s="112" t="s">
        <v>4</v>
      </c>
      <c r="C60" s="96">
        <v>0.0</v>
      </c>
      <c r="D60" s="96" t="s">
        <v>51</v>
      </c>
      <c r="E60" s="96">
        <v>8.0</v>
      </c>
      <c r="F60" s="96" t="s">
        <v>51</v>
      </c>
      <c r="G60" s="96">
        <v>8.0</v>
      </c>
      <c r="H60" s="96" t="s">
        <v>51</v>
      </c>
      <c r="I60" s="96">
        <v>8.0</v>
      </c>
      <c r="J60" s="96" t="s">
        <v>51</v>
      </c>
      <c r="K60" s="96">
        <v>8.0</v>
      </c>
      <c r="L60" s="96" t="s">
        <v>51</v>
      </c>
      <c r="M60" s="96">
        <v>8.0</v>
      </c>
      <c r="N60" s="112" t="s">
        <v>4</v>
      </c>
      <c r="O60" s="96">
        <v>0.0</v>
      </c>
      <c r="P60" s="122">
        <f t="shared" si="4"/>
        <v>40</v>
      </c>
    </row>
    <row r="61">
      <c r="A61" s="123" t="s">
        <v>88</v>
      </c>
      <c r="B61" s="96" t="s">
        <v>36</v>
      </c>
      <c r="C61" s="96">
        <v>8.0</v>
      </c>
      <c r="D61" s="96" t="s">
        <v>36</v>
      </c>
      <c r="E61" s="96">
        <v>8.0</v>
      </c>
      <c r="F61" s="112" t="s">
        <v>4</v>
      </c>
      <c r="G61" s="96">
        <v>0.0</v>
      </c>
      <c r="H61" s="96" t="s">
        <v>36</v>
      </c>
      <c r="I61" s="96">
        <v>8.0</v>
      </c>
      <c r="J61" s="96" t="s">
        <v>36</v>
      </c>
      <c r="K61" s="96">
        <v>8.0</v>
      </c>
      <c r="L61" s="96" t="s">
        <v>36</v>
      </c>
      <c r="M61" s="96">
        <v>8.0</v>
      </c>
      <c r="N61" s="112" t="s">
        <v>4</v>
      </c>
      <c r="O61" s="96">
        <v>0.0</v>
      </c>
      <c r="P61" s="122">
        <f t="shared" si="4"/>
        <v>40</v>
      </c>
    </row>
    <row r="62">
      <c r="A62" s="120" t="s">
        <v>70</v>
      </c>
      <c r="B62" s="96" t="s">
        <v>51</v>
      </c>
      <c r="C62" s="96">
        <v>8.0</v>
      </c>
      <c r="D62" s="96" t="s">
        <v>51</v>
      </c>
      <c r="E62" s="96">
        <v>8.0</v>
      </c>
      <c r="F62" s="112" t="s">
        <v>4</v>
      </c>
      <c r="G62" s="96">
        <v>0.0</v>
      </c>
      <c r="H62" s="96" t="s">
        <v>51</v>
      </c>
      <c r="I62" s="96">
        <v>8.0</v>
      </c>
      <c r="J62" s="96" t="s">
        <v>51</v>
      </c>
      <c r="K62" s="96">
        <v>8.0</v>
      </c>
      <c r="L62" s="96" t="s">
        <v>51</v>
      </c>
      <c r="M62" s="96">
        <v>8.0</v>
      </c>
      <c r="N62" s="112" t="s">
        <v>4</v>
      </c>
      <c r="O62" s="96">
        <v>0.0</v>
      </c>
      <c r="P62" s="122">
        <f t="shared" si="4"/>
        <v>40</v>
      </c>
    </row>
    <row r="63">
      <c r="A63" s="120" t="s">
        <v>72</v>
      </c>
      <c r="B63" s="112" t="s">
        <v>4</v>
      </c>
      <c r="C63" s="96">
        <v>0.0</v>
      </c>
      <c r="D63" s="96" t="s">
        <v>51</v>
      </c>
      <c r="E63" s="96">
        <v>8.0</v>
      </c>
      <c r="F63" s="96" t="s">
        <v>51</v>
      </c>
      <c r="G63" s="96">
        <v>8.0</v>
      </c>
      <c r="H63" s="96" t="s">
        <v>51</v>
      </c>
      <c r="I63" s="96">
        <v>8.0</v>
      </c>
      <c r="J63" s="96" t="s">
        <v>51</v>
      </c>
      <c r="K63" s="96">
        <v>8.0</v>
      </c>
      <c r="L63" s="96" t="s">
        <v>51</v>
      </c>
      <c r="M63" s="96">
        <v>8.0</v>
      </c>
      <c r="N63" s="112" t="s">
        <v>4</v>
      </c>
      <c r="O63" s="96">
        <v>0.0</v>
      </c>
      <c r="P63" s="122">
        <f t="shared" si="4"/>
        <v>40</v>
      </c>
    </row>
    <row r="64">
      <c r="A64" s="120" t="s">
        <v>96</v>
      </c>
      <c r="B64" s="96" t="s">
        <v>51</v>
      </c>
      <c r="C64" s="96">
        <v>8.0</v>
      </c>
      <c r="D64" s="96" t="s">
        <v>51</v>
      </c>
      <c r="E64" s="96">
        <v>8.0</v>
      </c>
      <c r="F64" s="112" t="s">
        <v>4</v>
      </c>
      <c r="G64" s="96">
        <v>0.0</v>
      </c>
      <c r="H64" s="96" t="s">
        <v>51</v>
      </c>
      <c r="I64" s="96">
        <v>8.0</v>
      </c>
      <c r="J64" s="96" t="s">
        <v>51</v>
      </c>
      <c r="K64" s="96">
        <v>8.0</v>
      </c>
      <c r="L64" s="96" t="s">
        <v>51</v>
      </c>
      <c r="M64" s="96">
        <v>8.0</v>
      </c>
      <c r="N64" s="112" t="s">
        <v>4</v>
      </c>
      <c r="O64" s="96">
        <v>0.0</v>
      </c>
      <c r="P64" s="122">
        <f t="shared" si="4"/>
        <v>40</v>
      </c>
    </row>
    <row r="65">
      <c r="A65" s="120" t="s">
        <v>92</v>
      </c>
      <c r="B65" s="96" t="s">
        <v>51</v>
      </c>
      <c r="C65" s="96">
        <v>8.0</v>
      </c>
      <c r="D65" s="112" t="s">
        <v>4</v>
      </c>
      <c r="E65" s="96">
        <v>0.0</v>
      </c>
      <c r="F65" s="96" t="s">
        <v>51</v>
      </c>
      <c r="G65" s="96">
        <v>8.0</v>
      </c>
      <c r="H65" s="96" t="s">
        <v>51</v>
      </c>
      <c r="I65" s="96">
        <v>8.0</v>
      </c>
      <c r="J65" s="96" t="s">
        <v>51</v>
      </c>
      <c r="K65" s="96">
        <v>8.0</v>
      </c>
      <c r="L65" s="96" t="s">
        <v>51</v>
      </c>
      <c r="M65" s="96">
        <v>8.0</v>
      </c>
      <c r="N65" s="112" t="s">
        <v>4</v>
      </c>
      <c r="O65" s="96">
        <v>0.0</v>
      </c>
      <c r="P65" s="122">
        <f t="shared" si="4"/>
        <v>40</v>
      </c>
    </row>
    <row r="66">
      <c r="A66" s="124" t="s">
        <v>76</v>
      </c>
      <c r="B66" s="96" t="s">
        <v>51</v>
      </c>
      <c r="C66" s="96">
        <v>8.0</v>
      </c>
      <c r="D66" s="112" t="s">
        <v>4</v>
      </c>
      <c r="E66" s="96">
        <v>0.0</v>
      </c>
      <c r="F66" s="112" t="s">
        <v>4</v>
      </c>
      <c r="G66" s="96">
        <v>0.0</v>
      </c>
      <c r="H66" s="96" t="s">
        <v>51</v>
      </c>
      <c r="I66" s="96">
        <v>8.0</v>
      </c>
      <c r="J66" s="96" t="s">
        <v>51</v>
      </c>
      <c r="K66" s="96">
        <v>8.0</v>
      </c>
      <c r="L66" s="96" t="s">
        <v>51</v>
      </c>
      <c r="M66" s="96">
        <v>8.0</v>
      </c>
      <c r="N66" s="96" t="s">
        <v>51</v>
      </c>
      <c r="O66" s="96">
        <v>8.0</v>
      </c>
      <c r="P66" s="122">
        <f t="shared" si="4"/>
        <v>40</v>
      </c>
    </row>
    <row r="67">
      <c r="A67" s="120" t="s">
        <v>74</v>
      </c>
      <c r="B67" s="112" t="s">
        <v>4</v>
      </c>
      <c r="C67" s="96">
        <v>0.0</v>
      </c>
      <c r="D67" s="96" t="s">
        <v>17</v>
      </c>
      <c r="E67" s="96">
        <v>8.0</v>
      </c>
      <c r="F67" s="96" t="s">
        <v>17</v>
      </c>
      <c r="G67" s="96">
        <v>8.0</v>
      </c>
      <c r="H67" s="96" t="s">
        <v>17</v>
      </c>
      <c r="I67" s="96">
        <v>8.0</v>
      </c>
      <c r="J67" s="96" t="s">
        <v>17</v>
      </c>
      <c r="K67" s="96">
        <v>8.0</v>
      </c>
      <c r="L67" s="96" t="s">
        <v>17</v>
      </c>
      <c r="M67" s="96">
        <v>8.0</v>
      </c>
      <c r="N67" s="112" t="s">
        <v>4</v>
      </c>
      <c r="O67" s="96">
        <v>0.0</v>
      </c>
      <c r="P67" s="122">
        <f t="shared" si="4"/>
        <v>40</v>
      </c>
    </row>
    <row r="68">
      <c r="A68" s="120" t="s">
        <v>84</v>
      </c>
      <c r="B68" s="96" t="s">
        <v>51</v>
      </c>
      <c r="C68" s="96">
        <v>8.0</v>
      </c>
      <c r="D68" s="96" t="s">
        <v>267</v>
      </c>
      <c r="E68" s="96">
        <v>5.0</v>
      </c>
      <c r="F68" s="96" t="s">
        <v>36</v>
      </c>
      <c r="G68" s="96">
        <v>8.0</v>
      </c>
      <c r="H68" s="96" t="s">
        <v>36</v>
      </c>
      <c r="I68" s="96">
        <v>8.0</v>
      </c>
      <c r="J68" s="96" t="s">
        <v>51</v>
      </c>
      <c r="K68" s="96">
        <v>8.0</v>
      </c>
      <c r="L68" s="96" t="s">
        <v>51</v>
      </c>
      <c r="M68" s="96">
        <v>8.0</v>
      </c>
      <c r="N68" s="112" t="s">
        <v>4</v>
      </c>
      <c r="O68" s="96">
        <v>0.0</v>
      </c>
      <c r="P68" s="122">
        <f t="shared" si="4"/>
        <v>45</v>
      </c>
    </row>
    <row r="69">
      <c r="A69" s="120" t="s">
        <v>98</v>
      </c>
      <c r="B69" s="112" t="s">
        <v>4</v>
      </c>
      <c r="C69" s="96">
        <v>0.0</v>
      </c>
      <c r="D69" s="96" t="s">
        <v>51</v>
      </c>
      <c r="E69" s="96">
        <v>8.0</v>
      </c>
      <c r="F69" s="96" t="s">
        <v>51</v>
      </c>
      <c r="G69" s="96">
        <v>8.0</v>
      </c>
      <c r="H69" s="96" t="s">
        <v>51</v>
      </c>
      <c r="I69" s="96">
        <v>8.0</v>
      </c>
      <c r="J69" s="96" t="s">
        <v>51</v>
      </c>
      <c r="K69" s="96">
        <v>8.0</v>
      </c>
      <c r="L69" s="96" t="s">
        <v>51</v>
      </c>
      <c r="M69" s="96">
        <v>8.0</v>
      </c>
      <c r="N69" s="112" t="s">
        <v>4</v>
      </c>
      <c r="O69" s="96">
        <v>0.0</v>
      </c>
      <c r="P69" s="122">
        <f t="shared" si="4"/>
        <v>40</v>
      </c>
    </row>
    <row r="70">
      <c r="A70" s="120" t="s">
        <v>80</v>
      </c>
      <c r="B70" s="80" t="s">
        <v>51</v>
      </c>
      <c r="C70" s="80">
        <v>8.0</v>
      </c>
      <c r="D70" s="80" t="s">
        <v>267</v>
      </c>
      <c r="E70" s="80">
        <v>5.0</v>
      </c>
      <c r="F70" s="112" t="s">
        <v>4</v>
      </c>
      <c r="G70" s="96">
        <v>0.0</v>
      </c>
      <c r="H70" s="80" t="s">
        <v>51</v>
      </c>
      <c r="I70" s="80">
        <v>8.0</v>
      </c>
      <c r="J70" s="80" t="s">
        <v>51</v>
      </c>
      <c r="K70" s="80">
        <v>8.0</v>
      </c>
      <c r="L70" s="80" t="s">
        <v>51</v>
      </c>
      <c r="M70" s="80">
        <v>8.0</v>
      </c>
      <c r="N70" s="81" t="s">
        <v>4</v>
      </c>
      <c r="O70" s="80">
        <v>0.0</v>
      </c>
      <c r="P70" s="122">
        <f t="shared" si="4"/>
        <v>37</v>
      </c>
    </row>
    <row r="71">
      <c r="A71" s="123" t="s">
        <v>78</v>
      </c>
      <c r="B71" s="96" t="s">
        <v>51</v>
      </c>
      <c r="C71" s="96">
        <v>8.0</v>
      </c>
      <c r="D71" s="112" t="s">
        <v>4</v>
      </c>
      <c r="E71" s="96">
        <v>0.0</v>
      </c>
      <c r="F71" s="96" t="s">
        <v>51</v>
      </c>
      <c r="G71" s="96">
        <v>8.0</v>
      </c>
      <c r="H71" s="96" t="s">
        <v>51</v>
      </c>
      <c r="I71" s="96">
        <v>8.0</v>
      </c>
      <c r="J71" s="96" t="s">
        <v>51</v>
      </c>
      <c r="K71" s="96">
        <v>8.0</v>
      </c>
      <c r="L71" s="96" t="s">
        <v>51</v>
      </c>
      <c r="M71" s="96">
        <v>8.0</v>
      </c>
      <c r="N71" s="112" t="s">
        <v>4</v>
      </c>
      <c r="O71" s="96">
        <v>0.0</v>
      </c>
      <c r="P71" s="122">
        <f t="shared" si="4"/>
        <v>40</v>
      </c>
    </row>
    <row r="72">
      <c r="A72" s="120" t="s">
        <v>94</v>
      </c>
      <c r="B72" s="96" t="s">
        <v>36</v>
      </c>
      <c r="C72" s="96">
        <v>8.0</v>
      </c>
      <c r="D72" s="112" t="s">
        <v>4</v>
      </c>
      <c r="E72" s="96">
        <v>0.0</v>
      </c>
      <c r="F72" s="96" t="s">
        <v>36</v>
      </c>
      <c r="G72" s="96">
        <v>8.0</v>
      </c>
      <c r="H72" s="96" t="s">
        <v>36</v>
      </c>
      <c r="I72" s="96">
        <v>8.0</v>
      </c>
      <c r="J72" s="96" t="s">
        <v>36</v>
      </c>
      <c r="K72" s="96">
        <v>8.0</v>
      </c>
      <c r="L72" s="96" t="s">
        <v>36</v>
      </c>
      <c r="M72" s="96">
        <v>8.0</v>
      </c>
      <c r="N72" s="112" t="s">
        <v>4</v>
      </c>
      <c r="O72" s="96">
        <v>0.0</v>
      </c>
      <c r="P72" s="122">
        <f t="shared" si="4"/>
        <v>40</v>
      </c>
    </row>
    <row r="73">
      <c r="A73" s="124" t="s">
        <v>86</v>
      </c>
      <c r="B73" s="112" t="s">
        <v>4</v>
      </c>
      <c r="C73" s="96">
        <v>0.0</v>
      </c>
      <c r="D73" s="112" t="s">
        <v>4</v>
      </c>
      <c r="E73" s="96">
        <v>0.0</v>
      </c>
      <c r="F73" s="96" t="s">
        <v>17</v>
      </c>
      <c r="G73" s="96">
        <v>8.0</v>
      </c>
      <c r="H73" s="96" t="s">
        <v>17</v>
      </c>
      <c r="I73" s="96">
        <v>8.0</v>
      </c>
      <c r="J73" s="96" t="s">
        <v>17</v>
      </c>
      <c r="K73" s="96">
        <v>8.0</v>
      </c>
      <c r="L73" s="96" t="s">
        <v>17</v>
      </c>
      <c r="M73" s="96">
        <v>8.0</v>
      </c>
      <c r="N73" s="96" t="s">
        <v>17</v>
      </c>
      <c r="O73" s="96">
        <v>8.0</v>
      </c>
      <c r="P73" s="122">
        <f t="shared" si="4"/>
        <v>40</v>
      </c>
    </row>
    <row r="75">
      <c r="A75" s="115" t="s">
        <v>287</v>
      </c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</row>
    <row r="76">
      <c r="A76" s="116" t="s">
        <v>65</v>
      </c>
      <c r="B76" s="147">
        <v>46111.0</v>
      </c>
      <c r="C76" s="118"/>
      <c r="D76" s="147">
        <v>46112.0</v>
      </c>
      <c r="E76" s="118"/>
      <c r="F76" s="117" t="s">
        <v>288</v>
      </c>
      <c r="G76" s="118"/>
      <c r="H76" s="147">
        <v>46114.0</v>
      </c>
      <c r="I76" s="118"/>
      <c r="J76" s="147">
        <v>46115.0</v>
      </c>
      <c r="K76" s="118"/>
      <c r="L76" s="147">
        <v>46116.0</v>
      </c>
      <c r="M76" s="118"/>
      <c r="N76" s="147">
        <v>46117.0</v>
      </c>
      <c r="O76" s="118"/>
      <c r="P76" s="117" t="s">
        <v>107</v>
      </c>
    </row>
    <row r="77">
      <c r="A77" s="120" t="s">
        <v>82</v>
      </c>
      <c r="B77" s="107" t="s">
        <v>277</v>
      </c>
      <c r="C77" s="107">
        <v>8.0</v>
      </c>
      <c r="D77" s="159" t="s">
        <v>4</v>
      </c>
      <c r="E77" s="107">
        <v>0.0</v>
      </c>
      <c r="F77" s="107" t="s">
        <v>277</v>
      </c>
      <c r="G77" s="107">
        <v>8.0</v>
      </c>
      <c r="H77" s="163" t="s">
        <v>51</v>
      </c>
      <c r="I77" s="107">
        <v>8.0</v>
      </c>
      <c r="J77" s="164" t="s">
        <v>278</v>
      </c>
      <c r="K77" s="107">
        <v>8.0</v>
      </c>
      <c r="L77" s="107" t="s">
        <v>51</v>
      </c>
      <c r="M77" s="107">
        <v>8.0</v>
      </c>
      <c r="N77" s="159" t="s">
        <v>4</v>
      </c>
      <c r="O77" s="107">
        <v>0.0</v>
      </c>
      <c r="P77" s="122">
        <f t="shared" ref="P77:P91" si="5">C77+E77+G77+K77+M77+O77+I77</f>
        <v>40</v>
      </c>
    </row>
    <row r="78">
      <c r="A78" s="123" t="s">
        <v>90</v>
      </c>
      <c r="B78" s="112" t="s">
        <v>4</v>
      </c>
      <c r="C78" s="96">
        <v>0.0</v>
      </c>
      <c r="D78" s="96" t="s">
        <v>51</v>
      </c>
      <c r="E78" s="96">
        <v>8.0</v>
      </c>
      <c r="F78" s="112" t="s">
        <v>4</v>
      </c>
      <c r="G78" s="96">
        <v>0.0</v>
      </c>
      <c r="H78" s="164" t="s">
        <v>164</v>
      </c>
      <c r="I78" s="96">
        <v>8.0</v>
      </c>
      <c r="J78" s="164" t="s">
        <v>164</v>
      </c>
      <c r="K78" s="96">
        <v>8.0</v>
      </c>
      <c r="L78" s="96" t="s">
        <v>51</v>
      </c>
      <c r="M78" s="96">
        <v>8.0</v>
      </c>
      <c r="N78" s="96" t="s">
        <v>51</v>
      </c>
      <c r="O78" s="96">
        <v>8.0</v>
      </c>
      <c r="P78" s="122">
        <f t="shared" si="5"/>
        <v>40</v>
      </c>
    </row>
    <row r="79">
      <c r="A79" s="123" t="s">
        <v>88</v>
      </c>
      <c r="B79" s="112" t="s">
        <v>4</v>
      </c>
      <c r="C79" s="96">
        <v>0.0</v>
      </c>
      <c r="D79" s="96" t="s">
        <v>36</v>
      </c>
      <c r="E79" s="96">
        <v>8.0</v>
      </c>
      <c r="F79" s="112" t="s">
        <v>4</v>
      </c>
      <c r="G79" s="96">
        <v>0.0</v>
      </c>
      <c r="H79" s="164" t="s">
        <v>164</v>
      </c>
      <c r="I79" s="96">
        <v>8.0</v>
      </c>
      <c r="J79" s="164" t="s">
        <v>164</v>
      </c>
      <c r="K79" s="96">
        <v>8.0</v>
      </c>
      <c r="L79" s="96" t="s">
        <v>36</v>
      </c>
      <c r="M79" s="96">
        <v>8.0</v>
      </c>
      <c r="N79" s="96" t="s">
        <v>36</v>
      </c>
      <c r="O79" s="96">
        <v>8.0</v>
      </c>
      <c r="P79" s="122">
        <f t="shared" si="5"/>
        <v>40</v>
      </c>
    </row>
    <row r="80">
      <c r="A80" s="120" t="s">
        <v>70</v>
      </c>
      <c r="B80" s="96" t="s">
        <v>51</v>
      </c>
      <c r="C80" s="96">
        <v>8.0</v>
      </c>
      <c r="D80" s="96" t="s">
        <v>51</v>
      </c>
      <c r="E80" s="96">
        <v>8.0</v>
      </c>
      <c r="F80" s="112" t="s">
        <v>4</v>
      </c>
      <c r="G80" s="96">
        <v>0.0</v>
      </c>
      <c r="H80" s="165" t="s">
        <v>51</v>
      </c>
      <c r="I80" s="96">
        <v>8.0</v>
      </c>
      <c r="J80" s="164" t="s">
        <v>164</v>
      </c>
      <c r="K80" s="96">
        <v>8.0</v>
      </c>
      <c r="L80" s="96" t="s">
        <v>51</v>
      </c>
      <c r="M80" s="96">
        <v>8.0</v>
      </c>
      <c r="N80" s="112" t="s">
        <v>4</v>
      </c>
      <c r="O80" s="96">
        <v>0.0</v>
      </c>
      <c r="P80" s="122">
        <f t="shared" si="5"/>
        <v>40</v>
      </c>
    </row>
    <row r="81">
      <c r="A81" s="120" t="s">
        <v>72</v>
      </c>
      <c r="B81" s="112" t="s">
        <v>4</v>
      </c>
      <c r="C81" s="96">
        <v>0.0</v>
      </c>
      <c r="D81" s="96" t="s">
        <v>51</v>
      </c>
      <c r="E81" s="96">
        <v>8.0</v>
      </c>
      <c r="F81" s="112" t="s">
        <v>4</v>
      </c>
      <c r="G81" s="96">
        <v>0.0</v>
      </c>
      <c r="H81" s="164" t="s">
        <v>164</v>
      </c>
      <c r="I81" s="96">
        <v>8.0</v>
      </c>
      <c r="J81" s="164" t="s">
        <v>164</v>
      </c>
      <c r="K81" s="96">
        <v>8.0</v>
      </c>
      <c r="L81" s="96" t="s">
        <v>51</v>
      </c>
      <c r="M81" s="96">
        <v>8.0</v>
      </c>
      <c r="N81" s="96" t="s">
        <v>51</v>
      </c>
      <c r="O81" s="96">
        <v>8.0</v>
      </c>
      <c r="P81" s="122">
        <f t="shared" si="5"/>
        <v>40</v>
      </c>
    </row>
    <row r="82">
      <c r="A82" s="120" t="s">
        <v>96</v>
      </c>
      <c r="B82" s="96" t="s">
        <v>51</v>
      </c>
      <c r="C82" s="96">
        <v>8.0</v>
      </c>
      <c r="D82" s="96" t="s">
        <v>51</v>
      </c>
      <c r="E82" s="96">
        <v>8.0</v>
      </c>
      <c r="F82" s="112" t="s">
        <v>4</v>
      </c>
      <c r="G82" s="96">
        <v>0.0</v>
      </c>
      <c r="H82" s="121" t="s">
        <v>51</v>
      </c>
      <c r="I82" s="96">
        <v>8.0</v>
      </c>
      <c r="J82" s="164" t="s">
        <v>278</v>
      </c>
      <c r="K82" s="96">
        <v>8.0</v>
      </c>
      <c r="L82" s="96" t="s">
        <v>51</v>
      </c>
      <c r="M82" s="96">
        <v>8.0</v>
      </c>
      <c r="N82" s="112" t="s">
        <v>4</v>
      </c>
      <c r="O82" s="96">
        <v>0.0</v>
      </c>
      <c r="P82" s="122">
        <f t="shared" si="5"/>
        <v>40</v>
      </c>
    </row>
    <row r="83">
      <c r="A83" s="120" t="s">
        <v>92</v>
      </c>
      <c r="B83" s="96" t="s">
        <v>51</v>
      </c>
      <c r="C83" s="96">
        <v>8.0</v>
      </c>
      <c r="D83" s="112" t="s">
        <v>4</v>
      </c>
      <c r="E83" s="96">
        <v>0.0</v>
      </c>
      <c r="F83" s="96" t="s">
        <v>51</v>
      </c>
      <c r="G83" s="96">
        <v>8.0</v>
      </c>
      <c r="H83" s="164" t="s">
        <v>278</v>
      </c>
      <c r="I83" s="80">
        <v>8.0</v>
      </c>
      <c r="J83" s="164" t="s">
        <v>278</v>
      </c>
      <c r="K83" s="80">
        <v>8.0</v>
      </c>
      <c r="L83" s="96" t="s">
        <v>51</v>
      </c>
      <c r="M83" s="96">
        <v>8.0</v>
      </c>
      <c r="N83" s="112" t="s">
        <v>4</v>
      </c>
      <c r="O83" s="96">
        <v>0.0</v>
      </c>
      <c r="P83" s="122">
        <f t="shared" si="5"/>
        <v>40</v>
      </c>
    </row>
    <row r="84">
      <c r="A84" s="124" t="s">
        <v>76</v>
      </c>
      <c r="B84" s="96" t="s">
        <v>51</v>
      </c>
      <c r="C84" s="96">
        <v>8.0</v>
      </c>
      <c r="D84" s="112" t="s">
        <v>4</v>
      </c>
      <c r="E84" s="96">
        <v>0.0</v>
      </c>
      <c r="F84" s="112" t="s">
        <v>4</v>
      </c>
      <c r="G84" s="96">
        <v>0.0</v>
      </c>
      <c r="H84" s="121" t="s">
        <v>51</v>
      </c>
      <c r="I84" s="96">
        <v>8.0</v>
      </c>
      <c r="J84" s="121" t="s">
        <v>51</v>
      </c>
      <c r="K84" s="96">
        <v>8.0</v>
      </c>
      <c r="L84" s="96" t="s">
        <v>51</v>
      </c>
      <c r="M84" s="96">
        <v>8.0</v>
      </c>
      <c r="N84" s="96" t="s">
        <v>51</v>
      </c>
      <c r="O84" s="96">
        <v>8.0</v>
      </c>
      <c r="P84" s="122">
        <f t="shared" si="5"/>
        <v>40</v>
      </c>
    </row>
    <row r="85">
      <c r="A85" s="120" t="s">
        <v>74</v>
      </c>
      <c r="B85" s="112" t="s">
        <v>4</v>
      </c>
      <c r="C85" s="96">
        <v>0.0</v>
      </c>
      <c r="D85" s="96" t="s">
        <v>17</v>
      </c>
      <c r="E85" s="96">
        <v>8.0</v>
      </c>
      <c r="F85" s="96" t="s">
        <v>17</v>
      </c>
      <c r="G85" s="96">
        <v>8.0</v>
      </c>
      <c r="H85" s="121" t="s">
        <v>17</v>
      </c>
      <c r="I85" s="96">
        <v>8.0</v>
      </c>
      <c r="J85" s="164" t="s">
        <v>278</v>
      </c>
      <c r="K85" s="96">
        <v>8.0</v>
      </c>
      <c r="L85" s="96" t="s">
        <v>17</v>
      </c>
      <c r="M85" s="96">
        <v>8.0</v>
      </c>
      <c r="N85" s="112" t="s">
        <v>4</v>
      </c>
      <c r="O85" s="96">
        <v>0.0</v>
      </c>
      <c r="P85" s="122">
        <f t="shared" si="5"/>
        <v>40</v>
      </c>
    </row>
    <row r="86">
      <c r="A86" s="120" t="s">
        <v>84</v>
      </c>
      <c r="B86" s="112" t="s">
        <v>4</v>
      </c>
      <c r="C86" s="96">
        <v>0.0</v>
      </c>
      <c r="D86" s="96" t="s">
        <v>36</v>
      </c>
      <c r="E86" s="96">
        <v>8.0</v>
      </c>
      <c r="F86" s="96" t="s">
        <v>267</v>
      </c>
      <c r="G86" s="96">
        <v>5.0</v>
      </c>
      <c r="H86" s="164" t="s">
        <v>164</v>
      </c>
      <c r="I86" s="96">
        <v>6.0</v>
      </c>
      <c r="J86" s="164" t="s">
        <v>278</v>
      </c>
      <c r="K86" s="96">
        <v>8.0</v>
      </c>
      <c r="L86" s="96" t="s">
        <v>51</v>
      </c>
      <c r="M86" s="96">
        <v>8.0</v>
      </c>
      <c r="N86" s="96" t="s">
        <v>51</v>
      </c>
      <c r="O86" s="96">
        <v>8.0</v>
      </c>
      <c r="P86" s="122">
        <f t="shared" si="5"/>
        <v>43</v>
      </c>
    </row>
    <row r="87">
      <c r="A87" s="120" t="s">
        <v>98</v>
      </c>
      <c r="B87" s="112" t="s">
        <v>4</v>
      </c>
      <c r="C87" s="96">
        <v>0.0</v>
      </c>
      <c r="D87" s="96" t="s">
        <v>51</v>
      </c>
      <c r="E87" s="96">
        <v>8.0</v>
      </c>
      <c r="F87" s="96" t="s">
        <v>51</v>
      </c>
      <c r="G87" s="96">
        <v>8.0</v>
      </c>
      <c r="H87" s="164" t="s">
        <v>164</v>
      </c>
      <c r="I87" s="96">
        <v>8.0</v>
      </c>
      <c r="J87" s="164" t="s">
        <v>278</v>
      </c>
      <c r="K87" s="96">
        <v>8.0</v>
      </c>
      <c r="L87" s="96" t="s">
        <v>51</v>
      </c>
      <c r="M87" s="96">
        <v>8.0</v>
      </c>
      <c r="N87" s="112" t="s">
        <v>4</v>
      </c>
      <c r="O87" s="96">
        <v>0.0</v>
      </c>
      <c r="P87" s="122">
        <f t="shared" si="5"/>
        <v>40</v>
      </c>
    </row>
    <row r="88">
      <c r="A88" s="161" t="s">
        <v>80</v>
      </c>
      <c r="B88" s="80" t="s">
        <v>51</v>
      </c>
      <c r="C88" s="80">
        <v>8.0</v>
      </c>
      <c r="D88" s="80" t="s">
        <v>51</v>
      </c>
      <c r="E88" s="80">
        <v>8.0</v>
      </c>
      <c r="F88" s="80" t="s">
        <v>267</v>
      </c>
      <c r="G88" s="80">
        <v>5.0</v>
      </c>
      <c r="H88" s="166" t="s">
        <v>268</v>
      </c>
      <c r="I88" s="80">
        <v>6.0</v>
      </c>
      <c r="J88" s="164" t="s">
        <v>278</v>
      </c>
      <c r="K88" s="80">
        <v>8.0</v>
      </c>
      <c r="L88" s="80" t="s">
        <v>51</v>
      </c>
      <c r="M88" s="80">
        <v>8.0</v>
      </c>
      <c r="N88" s="81" t="s">
        <v>4</v>
      </c>
      <c r="O88" s="80">
        <v>0.0</v>
      </c>
      <c r="P88" s="122">
        <f t="shared" si="5"/>
        <v>43</v>
      </c>
    </row>
    <row r="89">
      <c r="A89" s="123" t="s">
        <v>78</v>
      </c>
      <c r="B89" s="96" t="s">
        <v>51</v>
      </c>
      <c r="C89" s="96">
        <v>8.0</v>
      </c>
      <c r="D89" s="112" t="s">
        <v>4</v>
      </c>
      <c r="E89" s="96">
        <v>0.0</v>
      </c>
      <c r="F89" s="96" t="s">
        <v>51</v>
      </c>
      <c r="G89" s="96">
        <v>8.0</v>
      </c>
      <c r="H89" s="164" t="s">
        <v>164</v>
      </c>
      <c r="I89" s="96">
        <v>8.0</v>
      </c>
      <c r="J89" s="164" t="s">
        <v>278</v>
      </c>
      <c r="K89" s="96">
        <v>8.0</v>
      </c>
      <c r="L89" s="96" t="s">
        <v>51</v>
      </c>
      <c r="M89" s="96">
        <v>8.0</v>
      </c>
      <c r="N89" s="112" t="s">
        <v>4</v>
      </c>
      <c r="O89" s="96">
        <v>0.0</v>
      </c>
      <c r="P89" s="122">
        <f t="shared" si="5"/>
        <v>40</v>
      </c>
    </row>
    <row r="90">
      <c r="A90" s="120" t="s">
        <v>94</v>
      </c>
      <c r="B90" s="96" t="s">
        <v>36</v>
      </c>
      <c r="C90" s="96">
        <v>8.0</v>
      </c>
      <c r="D90" s="96" t="s">
        <v>36</v>
      </c>
      <c r="E90" s="96">
        <v>8.0</v>
      </c>
      <c r="F90" s="96" t="s">
        <v>36</v>
      </c>
      <c r="G90" s="96">
        <v>8.0</v>
      </c>
      <c r="H90" s="164" t="s">
        <v>164</v>
      </c>
      <c r="I90" s="96">
        <v>8.0</v>
      </c>
      <c r="J90" s="164" t="s">
        <v>278</v>
      </c>
      <c r="K90" s="96">
        <v>8.0</v>
      </c>
      <c r="L90" s="96" t="s">
        <v>36</v>
      </c>
      <c r="M90" s="96">
        <v>8.0</v>
      </c>
      <c r="N90" s="112" t="s">
        <v>4</v>
      </c>
      <c r="O90" s="96">
        <v>0.0</v>
      </c>
      <c r="P90" s="122">
        <f t="shared" si="5"/>
        <v>48</v>
      </c>
    </row>
    <row r="91">
      <c r="A91" s="124" t="s">
        <v>86</v>
      </c>
      <c r="B91" s="96" t="s">
        <v>17</v>
      </c>
      <c r="C91" s="96">
        <v>8.0</v>
      </c>
      <c r="D91" s="112" t="s">
        <v>4</v>
      </c>
      <c r="E91" s="96">
        <v>0.0</v>
      </c>
      <c r="F91" s="112" t="s">
        <v>4</v>
      </c>
      <c r="G91" s="96">
        <v>0.0</v>
      </c>
      <c r="H91" s="121" t="s">
        <v>17</v>
      </c>
      <c r="I91" s="96">
        <v>8.0</v>
      </c>
      <c r="J91" s="121" t="s">
        <v>17</v>
      </c>
      <c r="K91" s="96">
        <v>8.0</v>
      </c>
      <c r="L91" s="96" t="s">
        <v>17</v>
      </c>
      <c r="M91" s="96">
        <v>8.0</v>
      </c>
      <c r="N91" s="96" t="s">
        <v>17</v>
      </c>
      <c r="O91" s="96">
        <v>8.0</v>
      </c>
      <c r="P91" s="122">
        <f t="shared" si="5"/>
        <v>40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4.86"/>
    <col customWidth="1" min="3" max="3" width="2.14"/>
    <col customWidth="1" min="4" max="4" width="24.86"/>
    <col customWidth="1" min="5" max="5" width="2.14"/>
    <col customWidth="1" min="6" max="6" width="24.86"/>
    <col customWidth="1" min="7" max="7" width="2.14"/>
    <col customWidth="1" min="8" max="8" width="24.86"/>
    <col customWidth="1" min="9" max="9" width="2.14"/>
    <col customWidth="1" min="10" max="10" width="24.86"/>
    <col customWidth="1" min="11" max="11" width="2.14"/>
    <col customWidth="1" min="12" max="12" width="24.86"/>
    <col customWidth="1" min="13" max="13" width="2.14"/>
    <col customWidth="1" min="14" max="14" width="24.86"/>
    <col customWidth="1" min="15" max="15" width="2.14"/>
    <col customWidth="1" min="17" max="17" width="44.29"/>
  </cols>
  <sheetData>
    <row r="2">
      <c r="A2" s="115" t="s">
        <v>287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>
      <c r="A3" s="167" t="s">
        <v>65</v>
      </c>
      <c r="B3" s="147">
        <v>46111.0</v>
      </c>
      <c r="C3" s="118"/>
      <c r="D3" s="147">
        <v>46112.0</v>
      </c>
      <c r="E3" s="118"/>
      <c r="F3" s="117" t="s">
        <v>288</v>
      </c>
      <c r="G3" s="118"/>
      <c r="H3" s="147">
        <v>46114.0</v>
      </c>
      <c r="I3" s="118"/>
      <c r="J3" s="147">
        <v>46115.0</v>
      </c>
      <c r="K3" s="118"/>
      <c r="L3" s="147">
        <v>46116.0</v>
      </c>
      <c r="M3" s="118"/>
      <c r="N3" s="147">
        <v>46117.0</v>
      </c>
      <c r="O3" s="118"/>
      <c r="P3" s="117" t="s">
        <v>107</v>
      </c>
      <c r="Q3" s="119" t="s">
        <v>212</v>
      </c>
    </row>
    <row r="4">
      <c r="A4" s="168" t="s">
        <v>82</v>
      </c>
      <c r="B4" s="148" t="s">
        <v>277</v>
      </c>
      <c r="C4" s="96">
        <v>8.0</v>
      </c>
      <c r="D4" s="148" t="s">
        <v>277</v>
      </c>
      <c r="E4" s="96">
        <v>8.0</v>
      </c>
      <c r="F4" s="96" t="s">
        <v>277</v>
      </c>
      <c r="G4" s="96">
        <v>8.0</v>
      </c>
      <c r="H4" s="121" t="s">
        <v>51</v>
      </c>
      <c r="I4" s="96">
        <v>8.0</v>
      </c>
      <c r="J4" s="164" t="s">
        <v>278</v>
      </c>
      <c r="K4" s="96">
        <v>8.0</v>
      </c>
      <c r="L4" s="96" t="s">
        <v>51</v>
      </c>
      <c r="M4" s="96">
        <v>8.0</v>
      </c>
      <c r="N4" s="112" t="s">
        <v>4</v>
      </c>
      <c r="O4" s="96">
        <v>0.0</v>
      </c>
      <c r="P4" s="169">
        <f t="shared" ref="P4:P18" si="1">C4+E4+G4+I4+K4+M4+O4</f>
        <v>48</v>
      </c>
      <c r="Q4" s="77"/>
    </row>
    <row r="5">
      <c r="A5" s="168" t="s">
        <v>90</v>
      </c>
      <c r="B5" s="112" t="s">
        <v>4</v>
      </c>
      <c r="C5" s="96">
        <v>0.0</v>
      </c>
      <c r="D5" s="96" t="s">
        <v>51</v>
      </c>
      <c r="E5" s="96">
        <v>8.0</v>
      </c>
      <c r="F5" s="112" t="s">
        <v>4</v>
      </c>
      <c r="G5" s="96">
        <v>0.0</v>
      </c>
      <c r="H5" s="164" t="s">
        <v>164</v>
      </c>
      <c r="I5" s="96">
        <v>8.0</v>
      </c>
      <c r="J5" s="164" t="s">
        <v>164</v>
      </c>
      <c r="K5" s="96">
        <v>8.0</v>
      </c>
      <c r="L5" s="96" t="s">
        <v>51</v>
      </c>
      <c r="M5" s="96">
        <v>8.0</v>
      </c>
      <c r="N5" s="96" t="s">
        <v>51</v>
      </c>
      <c r="O5" s="96">
        <v>8.0</v>
      </c>
      <c r="P5" s="169">
        <f t="shared" si="1"/>
        <v>40</v>
      </c>
      <c r="Q5" s="61"/>
    </row>
    <row r="6">
      <c r="A6" s="168" t="s">
        <v>88</v>
      </c>
      <c r="B6" s="112" t="s">
        <v>4</v>
      </c>
      <c r="C6" s="96">
        <v>0.0</v>
      </c>
      <c r="D6" s="96" t="s">
        <v>36</v>
      </c>
      <c r="E6" s="96">
        <v>8.0</v>
      </c>
      <c r="F6" s="112" t="s">
        <v>4</v>
      </c>
      <c r="G6" s="96">
        <v>0.0</v>
      </c>
      <c r="H6" s="164" t="s">
        <v>164</v>
      </c>
      <c r="I6" s="96">
        <v>8.0</v>
      </c>
      <c r="J6" s="164" t="s">
        <v>164</v>
      </c>
      <c r="K6" s="96">
        <v>8.0</v>
      </c>
      <c r="L6" s="96" t="s">
        <v>36</v>
      </c>
      <c r="M6" s="96">
        <v>8.0</v>
      </c>
      <c r="N6" s="96" t="s">
        <v>36</v>
      </c>
      <c r="O6" s="96">
        <v>8.0</v>
      </c>
      <c r="P6" s="169">
        <f t="shared" si="1"/>
        <v>40</v>
      </c>
      <c r="Q6" s="61"/>
    </row>
    <row r="7">
      <c r="A7" s="168" t="s">
        <v>70</v>
      </c>
      <c r="B7" s="96" t="s">
        <v>51</v>
      </c>
      <c r="C7" s="96">
        <v>8.0</v>
      </c>
      <c r="D7" s="96" t="s">
        <v>51</v>
      </c>
      <c r="E7" s="96">
        <v>8.0</v>
      </c>
      <c r="F7" s="112" t="s">
        <v>4</v>
      </c>
      <c r="G7" s="96">
        <v>0.0</v>
      </c>
      <c r="H7" s="165" t="s">
        <v>51</v>
      </c>
      <c r="I7" s="96">
        <v>8.0</v>
      </c>
      <c r="J7" s="164" t="s">
        <v>164</v>
      </c>
      <c r="K7" s="96">
        <v>8.0</v>
      </c>
      <c r="L7" s="96" t="s">
        <v>51</v>
      </c>
      <c r="M7" s="96">
        <v>8.0</v>
      </c>
      <c r="N7" s="112" t="s">
        <v>4</v>
      </c>
      <c r="O7" s="96">
        <v>0.0</v>
      </c>
      <c r="P7" s="169">
        <f t="shared" si="1"/>
        <v>40</v>
      </c>
      <c r="Q7" s="61"/>
    </row>
    <row r="8">
      <c r="A8" s="168" t="s">
        <v>72</v>
      </c>
      <c r="B8" s="112" t="s">
        <v>4</v>
      </c>
      <c r="C8" s="96">
        <v>0.0</v>
      </c>
      <c r="D8" s="96" t="s">
        <v>51</v>
      </c>
      <c r="E8" s="96">
        <v>8.0</v>
      </c>
      <c r="F8" s="112" t="s">
        <v>4</v>
      </c>
      <c r="G8" s="96">
        <v>0.0</v>
      </c>
      <c r="H8" s="164" t="s">
        <v>164</v>
      </c>
      <c r="I8" s="96">
        <v>8.0</v>
      </c>
      <c r="J8" s="164" t="s">
        <v>164</v>
      </c>
      <c r="K8" s="96">
        <v>8.0</v>
      </c>
      <c r="L8" s="96" t="s">
        <v>51</v>
      </c>
      <c r="M8" s="96">
        <v>8.0</v>
      </c>
      <c r="N8" s="96" t="s">
        <v>51</v>
      </c>
      <c r="O8" s="96">
        <v>8.0</v>
      </c>
      <c r="P8" s="169">
        <f t="shared" si="1"/>
        <v>40</v>
      </c>
      <c r="Q8" s="77"/>
    </row>
    <row r="9">
      <c r="A9" s="168" t="s">
        <v>96</v>
      </c>
      <c r="B9" s="96" t="s">
        <v>51</v>
      </c>
      <c r="C9" s="96">
        <v>8.0</v>
      </c>
      <c r="D9" s="96" t="s">
        <v>51</v>
      </c>
      <c r="E9" s="96">
        <v>8.0</v>
      </c>
      <c r="F9" s="112" t="s">
        <v>4</v>
      </c>
      <c r="G9" s="96">
        <v>0.0</v>
      </c>
      <c r="H9" s="164" t="s">
        <v>164</v>
      </c>
      <c r="I9" s="96">
        <v>8.0</v>
      </c>
      <c r="J9" s="164" t="s">
        <v>278</v>
      </c>
      <c r="K9" s="96">
        <v>8.0</v>
      </c>
      <c r="L9" s="96" t="s">
        <v>51</v>
      </c>
      <c r="M9" s="96">
        <v>8.0</v>
      </c>
      <c r="N9" s="112" t="s">
        <v>4</v>
      </c>
      <c r="O9" s="96">
        <v>0.0</v>
      </c>
      <c r="P9" s="169">
        <f t="shared" si="1"/>
        <v>40</v>
      </c>
      <c r="Q9" s="61"/>
    </row>
    <row r="10">
      <c r="A10" s="168" t="s">
        <v>92</v>
      </c>
      <c r="B10" s="96" t="s">
        <v>51</v>
      </c>
      <c r="C10" s="96">
        <v>8.0</v>
      </c>
      <c r="D10" s="112" t="s">
        <v>4</v>
      </c>
      <c r="E10" s="96">
        <v>0.0</v>
      </c>
      <c r="F10" s="96" t="s">
        <v>51</v>
      </c>
      <c r="G10" s="96">
        <v>8.0</v>
      </c>
      <c r="H10" s="164" t="s">
        <v>278</v>
      </c>
      <c r="I10" s="80">
        <v>8.0</v>
      </c>
      <c r="J10" s="164" t="s">
        <v>278</v>
      </c>
      <c r="K10" s="80">
        <v>8.0</v>
      </c>
      <c r="L10" s="96" t="s">
        <v>51</v>
      </c>
      <c r="M10" s="96">
        <v>8.0</v>
      </c>
      <c r="N10" s="112" t="s">
        <v>4</v>
      </c>
      <c r="O10" s="96">
        <v>0.0</v>
      </c>
      <c r="P10" s="169">
        <f t="shared" si="1"/>
        <v>40</v>
      </c>
      <c r="Q10" s="77"/>
    </row>
    <row r="11">
      <c r="A11" s="168" t="s">
        <v>76</v>
      </c>
      <c r="B11" s="96" t="s">
        <v>51</v>
      </c>
      <c r="C11" s="96">
        <v>8.0</v>
      </c>
      <c r="D11" s="112" t="s">
        <v>4</v>
      </c>
      <c r="E11" s="96">
        <v>0.0</v>
      </c>
      <c r="F11" s="112" t="s">
        <v>4</v>
      </c>
      <c r="G11" s="96">
        <v>0.0</v>
      </c>
      <c r="H11" s="111" t="s">
        <v>51</v>
      </c>
      <c r="I11" s="111">
        <v>8.0</v>
      </c>
      <c r="J11" s="111" t="s">
        <v>51</v>
      </c>
      <c r="K11" s="111">
        <v>8.0</v>
      </c>
      <c r="L11" s="111" t="s">
        <v>51</v>
      </c>
      <c r="M11" s="111">
        <v>8.0</v>
      </c>
      <c r="N11" s="111" t="s">
        <v>51</v>
      </c>
      <c r="O11" s="111">
        <v>8.0</v>
      </c>
      <c r="P11" s="169">
        <f t="shared" si="1"/>
        <v>40</v>
      </c>
      <c r="Q11" s="77" t="s">
        <v>289</v>
      </c>
    </row>
    <row r="12">
      <c r="A12" s="168" t="s">
        <v>74</v>
      </c>
      <c r="B12" s="112" t="s">
        <v>4</v>
      </c>
      <c r="C12" s="96">
        <v>0.0</v>
      </c>
      <c r="D12" s="96" t="s">
        <v>17</v>
      </c>
      <c r="E12" s="96">
        <v>8.0</v>
      </c>
      <c r="F12" s="96" t="s">
        <v>17</v>
      </c>
      <c r="G12" s="96">
        <v>8.0</v>
      </c>
      <c r="H12" s="164" t="s">
        <v>164</v>
      </c>
      <c r="I12" s="96">
        <v>8.0</v>
      </c>
      <c r="J12" s="164" t="s">
        <v>278</v>
      </c>
      <c r="K12" s="96">
        <v>8.0</v>
      </c>
      <c r="L12" s="96" t="s">
        <v>17</v>
      </c>
      <c r="M12" s="96">
        <v>8.0</v>
      </c>
      <c r="N12" s="112" t="s">
        <v>4</v>
      </c>
      <c r="O12" s="96">
        <v>0.0</v>
      </c>
      <c r="P12" s="169">
        <f t="shared" si="1"/>
        <v>40</v>
      </c>
      <c r="Q12" s="77"/>
    </row>
    <row r="13">
      <c r="A13" s="168" t="s">
        <v>84</v>
      </c>
      <c r="B13" s="112" t="s">
        <v>4</v>
      </c>
      <c r="C13" s="96">
        <v>0.0</v>
      </c>
      <c r="D13" s="96" t="s">
        <v>36</v>
      </c>
      <c r="E13" s="96">
        <v>8.0</v>
      </c>
      <c r="F13" s="96" t="s">
        <v>267</v>
      </c>
      <c r="G13" s="96">
        <v>5.0</v>
      </c>
      <c r="H13" s="164" t="s">
        <v>164</v>
      </c>
      <c r="I13" s="96">
        <v>6.0</v>
      </c>
      <c r="J13" s="164" t="s">
        <v>278</v>
      </c>
      <c r="K13" s="96">
        <v>8.0</v>
      </c>
      <c r="L13" s="96" t="s">
        <v>51</v>
      </c>
      <c r="M13" s="96">
        <v>8.0</v>
      </c>
      <c r="N13" s="96" t="s">
        <v>51</v>
      </c>
      <c r="O13" s="96">
        <v>8.0</v>
      </c>
      <c r="P13" s="169">
        <f t="shared" si="1"/>
        <v>43</v>
      </c>
      <c r="Q13" s="77" t="s">
        <v>290</v>
      </c>
    </row>
    <row r="14">
      <c r="A14" s="168" t="s">
        <v>98</v>
      </c>
      <c r="B14" s="112" t="s">
        <v>4</v>
      </c>
      <c r="C14" s="96">
        <v>0.0</v>
      </c>
      <c r="D14" s="96" t="s">
        <v>51</v>
      </c>
      <c r="E14" s="96">
        <v>8.0</v>
      </c>
      <c r="F14" s="96" t="s">
        <v>51</v>
      </c>
      <c r="G14" s="96">
        <v>8.0</v>
      </c>
      <c r="H14" s="164" t="s">
        <v>164</v>
      </c>
      <c r="I14" s="96">
        <v>8.0</v>
      </c>
      <c r="J14" s="164" t="s">
        <v>278</v>
      </c>
      <c r="K14" s="96">
        <v>8.0</v>
      </c>
      <c r="L14" s="96" t="s">
        <v>51</v>
      </c>
      <c r="M14" s="96">
        <v>8.0</v>
      </c>
      <c r="N14" s="112" t="s">
        <v>4</v>
      </c>
      <c r="O14" s="96">
        <v>0.0</v>
      </c>
      <c r="P14" s="169">
        <f t="shared" si="1"/>
        <v>40</v>
      </c>
      <c r="Q14" s="61"/>
    </row>
    <row r="15">
      <c r="A15" s="170" t="s">
        <v>80</v>
      </c>
      <c r="B15" s="96" t="s">
        <v>51</v>
      </c>
      <c r="C15" s="96">
        <v>8.0</v>
      </c>
      <c r="D15" s="96" t="s">
        <v>51</v>
      </c>
      <c r="E15" s="96">
        <v>8.0</v>
      </c>
      <c r="F15" s="96" t="s">
        <v>267</v>
      </c>
      <c r="G15" s="96">
        <v>5.0</v>
      </c>
      <c r="H15" s="164" t="s">
        <v>164</v>
      </c>
      <c r="I15" s="80">
        <v>6.0</v>
      </c>
      <c r="J15" s="164" t="s">
        <v>278</v>
      </c>
      <c r="K15" s="80">
        <v>8.0</v>
      </c>
      <c r="L15" s="80" t="s">
        <v>51</v>
      </c>
      <c r="M15" s="80">
        <v>8.0</v>
      </c>
      <c r="N15" s="81" t="s">
        <v>4</v>
      </c>
      <c r="O15" s="80">
        <v>0.0</v>
      </c>
      <c r="P15" s="169">
        <f t="shared" si="1"/>
        <v>43</v>
      </c>
      <c r="Q15" s="77" t="s">
        <v>290</v>
      </c>
    </row>
    <row r="16">
      <c r="A16" s="168" t="s">
        <v>78</v>
      </c>
      <c r="B16" s="96" t="s">
        <v>51</v>
      </c>
      <c r="C16" s="96">
        <v>8.0</v>
      </c>
      <c r="D16" s="112" t="s">
        <v>4</v>
      </c>
      <c r="E16" s="96">
        <v>0.0</v>
      </c>
      <c r="F16" s="96" t="s">
        <v>51</v>
      </c>
      <c r="G16" s="96">
        <v>8.0</v>
      </c>
      <c r="H16" s="164" t="s">
        <v>164</v>
      </c>
      <c r="I16" s="96">
        <v>8.0</v>
      </c>
      <c r="J16" s="164" t="s">
        <v>278</v>
      </c>
      <c r="K16" s="96">
        <v>8.0</v>
      </c>
      <c r="L16" s="96" t="s">
        <v>51</v>
      </c>
      <c r="M16" s="96">
        <v>8.0</v>
      </c>
      <c r="N16" s="112" t="s">
        <v>4</v>
      </c>
      <c r="O16" s="96">
        <v>0.0</v>
      </c>
      <c r="P16" s="169">
        <f t="shared" si="1"/>
        <v>40</v>
      </c>
      <c r="Q16" s="61"/>
    </row>
    <row r="17">
      <c r="A17" s="168" t="s">
        <v>94</v>
      </c>
      <c r="B17" s="96" t="s">
        <v>36</v>
      </c>
      <c r="C17" s="96">
        <v>8.0</v>
      </c>
      <c r="D17" s="96" t="s">
        <v>36</v>
      </c>
      <c r="E17" s="96">
        <v>8.0</v>
      </c>
      <c r="F17" s="96" t="s">
        <v>36</v>
      </c>
      <c r="G17" s="96">
        <v>8.0</v>
      </c>
      <c r="H17" s="164" t="s">
        <v>164</v>
      </c>
      <c r="I17" s="96">
        <v>8.0</v>
      </c>
      <c r="J17" s="164" t="s">
        <v>278</v>
      </c>
      <c r="K17" s="96">
        <v>8.0</v>
      </c>
      <c r="L17" s="96" t="s">
        <v>36</v>
      </c>
      <c r="M17" s="96">
        <v>8.0</v>
      </c>
      <c r="N17" s="112" t="s">
        <v>4</v>
      </c>
      <c r="O17" s="96">
        <v>0.0</v>
      </c>
      <c r="P17" s="169">
        <f t="shared" si="1"/>
        <v>48</v>
      </c>
      <c r="Q17" s="61"/>
    </row>
    <row r="18">
      <c r="A18" s="168" t="s">
        <v>86</v>
      </c>
      <c r="B18" s="96" t="s">
        <v>17</v>
      </c>
      <c r="C18" s="96">
        <v>8.0</v>
      </c>
      <c r="D18" s="112" t="s">
        <v>4</v>
      </c>
      <c r="E18" s="96">
        <v>0.0</v>
      </c>
      <c r="F18" s="112" t="s">
        <v>4</v>
      </c>
      <c r="G18" s="96">
        <v>0.0</v>
      </c>
      <c r="H18" s="121" t="s">
        <v>17</v>
      </c>
      <c r="I18" s="96">
        <v>8.0</v>
      </c>
      <c r="J18" s="121" t="s">
        <v>17</v>
      </c>
      <c r="K18" s="96">
        <v>8.0</v>
      </c>
      <c r="L18" s="96" t="s">
        <v>17</v>
      </c>
      <c r="M18" s="96">
        <v>8.0</v>
      </c>
      <c r="N18" s="96" t="s">
        <v>17</v>
      </c>
      <c r="O18" s="96">
        <v>8.0</v>
      </c>
      <c r="P18" s="169">
        <f t="shared" si="1"/>
        <v>40</v>
      </c>
      <c r="Q18" s="61"/>
    </row>
    <row r="20">
      <c r="A20" s="115" t="s">
        <v>291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</row>
    <row r="21">
      <c r="A21" s="167" t="s">
        <v>65</v>
      </c>
      <c r="B21" s="147">
        <v>46118.0</v>
      </c>
      <c r="C21" s="118"/>
      <c r="D21" s="147">
        <v>46119.0</v>
      </c>
      <c r="E21" s="118"/>
      <c r="F21" s="117" t="s">
        <v>292</v>
      </c>
      <c r="G21" s="118"/>
      <c r="H21" s="147">
        <v>46121.0</v>
      </c>
      <c r="I21" s="118"/>
      <c r="J21" s="147">
        <v>46122.0</v>
      </c>
      <c r="K21" s="118"/>
      <c r="L21" s="147">
        <v>46123.0</v>
      </c>
      <c r="M21" s="118"/>
      <c r="N21" s="147">
        <v>46124.0</v>
      </c>
      <c r="O21" s="118"/>
      <c r="P21" s="117" t="s">
        <v>107</v>
      </c>
      <c r="Q21" s="119" t="s">
        <v>212</v>
      </c>
    </row>
    <row r="22">
      <c r="A22" s="171" t="s">
        <v>82</v>
      </c>
      <c r="B22" s="96" t="s">
        <v>277</v>
      </c>
      <c r="C22" s="96">
        <v>8.0</v>
      </c>
      <c r="D22" s="96" t="s">
        <v>51</v>
      </c>
      <c r="E22" s="96">
        <v>8.0</v>
      </c>
      <c r="F22" s="112" t="s">
        <v>4</v>
      </c>
      <c r="G22" s="96">
        <v>0.0</v>
      </c>
      <c r="H22" s="112" t="s">
        <v>4</v>
      </c>
      <c r="I22" s="96">
        <v>0.0</v>
      </c>
      <c r="J22" s="96" t="s">
        <v>51</v>
      </c>
      <c r="K22" s="96">
        <v>8.0</v>
      </c>
      <c r="L22" s="96" t="s">
        <v>51</v>
      </c>
      <c r="M22" s="96">
        <v>8.0</v>
      </c>
      <c r="N22" s="112" t="s">
        <v>4</v>
      </c>
      <c r="O22" s="96">
        <v>0.0</v>
      </c>
      <c r="P22" s="169">
        <f t="shared" ref="P22:P36" si="2">C22+E22+G22+I22+K22+M22+O22</f>
        <v>32</v>
      </c>
      <c r="Q22" s="77"/>
    </row>
    <row r="23">
      <c r="A23" s="171" t="s">
        <v>90</v>
      </c>
      <c r="B23" s="112" t="s">
        <v>4</v>
      </c>
      <c r="C23" s="96">
        <v>0.0</v>
      </c>
      <c r="D23" s="96" t="s">
        <v>51</v>
      </c>
      <c r="E23" s="96">
        <v>8.0</v>
      </c>
      <c r="F23" s="96" t="s">
        <v>51</v>
      </c>
      <c r="G23" s="96">
        <v>8.0</v>
      </c>
      <c r="H23" s="96" t="s">
        <v>51</v>
      </c>
      <c r="I23" s="96">
        <v>8.0</v>
      </c>
      <c r="J23" s="96" t="s">
        <v>51</v>
      </c>
      <c r="K23" s="96">
        <v>8.0</v>
      </c>
      <c r="L23" s="96" t="s">
        <v>51</v>
      </c>
      <c r="M23" s="96">
        <v>8.0</v>
      </c>
      <c r="N23" s="112" t="s">
        <v>4</v>
      </c>
      <c r="O23" s="96">
        <v>0.0</v>
      </c>
      <c r="P23" s="169">
        <f t="shared" si="2"/>
        <v>40</v>
      </c>
      <c r="Q23" s="61"/>
    </row>
    <row r="24">
      <c r="A24" s="171" t="s">
        <v>88</v>
      </c>
      <c r="B24" s="96" t="s">
        <v>36</v>
      </c>
      <c r="C24" s="96">
        <v>8.0</v>
      </c>
      <c r="D24" s="96" t="s">
        <v>36</v>
      </c>
      <c r="E24" s="96">
        <v>8.0</v>
      </c>
      <c r="F24" s="112" t="s">
        <v>4</v>
      </c>
      <c r="G24" s="96">
        <v>0.0</v>
      </c>
      <c r="H24" s="96" t="s">
        <v>36</v>
      </c>
      <c r="I24" s="96">
        <v>8.0</v>
      </c>
      <c r="J24" s="96" t="s">
        <v>36</v>
      </c>
      <c r="K24" s="96">
        <v>8.0</v>
      </c>
      <c r="L24" s="96" t="s">
        <v>36</v>
      </c>
      <c r="M24" s="96">
        <v>8.0</v>
      </c>
      <c r="N24" s="112" t="s">
        <v>4</v>
      </c>
      <c r="O24" s="96">
        <v>0.0</v>
      </c>
      <c r="P24" s="169">
        <f t="shared" si="2"/>
        <v>40</v>
      </c>
      <c r="Q24" s="61"/>
    </row>
    <row r="25">
      <c r="A25" s="171" t="s">
        <v>70</v>
      </c>
      <c r="B25" s="164" t="s">
        <v>164</v>
      </c>
      <c r="C25" s="96">
        <v>8.0</v>
      </c>
      <c r="D25" s="96" t="s">
        <v>51</v>
      </c>
      <c r="E25" s="96">
        <v>8.0</v>
      </c>
      <c r="F25" s="112" t="s">
        <v>4</v>
      </c>
      <c r="G25" s="96">
        <v>0.0</v>
      </c>
      <c r="H25" s="96" t="s">
        <v>51</v>
      </c>
      <c r="I25" s="96">
        <v>8.0</v>
      </c>
      <c r="J25" s="96" t="s">
        <v>51</v>
      </c>
      <c r="K25" s="96">
        <v>8.0</v>
      </c>
      <c r="L25" s="96" t="s">
        <v>51</v>
      </c>
      <c r="M25" s="96">
        <v>8.0</v>
      </c>
      <c r="N25" s="112" t="s">
        <v>4</v>
      </c>
      <c r="O25" s="96">
        <v>0.0</v>
      </c>
      <c r="P25" s="169">
        <f t="shared" si="2"/>
        <v>40</v>
      </c>
      <c r="Q25" s="61"/>
    </row>
    <row r="26">
      <c r="A26" s="171" t="s">
        <v>72</v>
      </c>
      <c r="B26" s="112" t="s">
        <v>4</v>
      </c>
      <c r="C26" s="96">
        <v>0.0</v>
      </c>
      <c r="D26" s="96" t="s">
        <v>51</v>
      </c>
      <c r="E26" s="96">
        <v>8.0</v>
      </c>
      <c r="F26" s="96" t="s">
        <v>51</v>
      </c>
      <c r="G26" s="96">
        <v>8.0</v>
      </c>
      <c r="H26" s="96" t="s">
        <v>51</v>
      </c>
      <c r="I26" s="96">
        <v>8.0</v>
      </c>
      <c r="J26" s="96" t="s">
        <v>51</v>
      </c>
      <c r="K26" s="96">
        <v>8.0</v>
      </c>
      <c r="L26" s="96" t="s">
        <v>51</v>
      </c>
      <c r="M26" s="96">
        <v>8.0</v>
      </c>
      <c r="N26" s="112" t="s">
        <v>4</v>
      </c>
      <c r="O26" s="96">
        <v>0.0</v>
      </c>
      <c r="P26" s="169">
        <f t="shared" si="2"/>
        <v>40</v>
      </c>
      <c r="Q26" s="77"/>
    </row>
    <row r="27">
      <c r="A27" s="171" t="s">
        <v>96</v>
      </c>
      <c r="B27" s="164" t="s">
        <v>164</v>
      </c>
      <c r="C27" s="96">
        <v>8.0</v>
      </c>
      <c r="D27" s="96" t="s">
        <v>51</v>
      </c>
      <c r="E27" s="96">
        <v>8.0</v>
      </c>
      <c r="F27" s="112" t="s">
        <v>4</v>
      </c>
      <c r="G27" s="96">
        <v>0.0</v>
      </c>
      <c r="H27" s="96" t="s">
        <v>51</v>
      </c>
      <c r="I27" s="96">
        <v>8.0</v>
      </c>
      <c r="J27" s="96" t="s">
        <v>51</v>
      </c>
      <c r="K27" s="96">
        <v>8.0</v>
      </c>
      <c r="L27" s="96" t="s">
        <v>51</v>
      </c>
      <c r="M27" s="96">
        <v>8.0</v>
      </c>
      <c r="N27" s="112" t="s">
        <v>4</v>
      </c>
      <c r="O27" s="96">
        <v>0.0</v>
      </c>
      <c r="P27" s="169">
        <f t="shared" si="2"/>
        <v>40</v>
      </c>
      <c r="Q27" s="61"/>
    </row>
    <row r="28">
      <c r="A28" s="171" t="s">
        <v>92</v>
      </c>
      <c r="B28" s="96" t="s">
        <v>51</v>
      </c>
      <c r="C28" s="96">
        <v>8.0</v>
      </c>
      <c r="D28" s="112" t="s">
        <v>4</v>
      </c>
      <c r="E28" s="96">
        <v>0.0</v>
      </c>
      <c r="F28" s="96" t="s">
        <v>51</v>
      </c>
      <c r="G28" s="96">
        <v>8.0</v>
      </c>
      <c r="H28" s="96" t="s">
        <v>51</v>
      </c>
      <c r="I28" s="96">
        <v>8.0</v>
      </c>
      <c r="J28" s="96" t="s">
        <v>51</v>
      </c>
      <c r="K28" s="96">
        <v>8.0</v>
      </c>
      <c r="L28" s="96" t="s">
        <v>51</v>
      </c>
      <c r="M28" s="96">
        <v>8.0</v>
      </c>
      <c r="N28" s="112" t="s">
        <v>4</v>
      </c>
      <c r="O28" s="96">
        <v>0.0</v>
      </c>
      <c r="P28" s="169">
        <f t="shared" si="2"/>
        <v>40</v>
      </c>
      <c r="Q28" s="77"/>
    </row>
    <row r="29">
      <c r="A29" s="168" t="s">
        <v>76</v>
      </c>
      <c r="B29" s="111" t="s">
        <v>51</v>
      </c>
      <c r="C29" s="111">
        <v>0.0</v>
      </c>
      <c r="D29" s="111" t="s">
        <v>4</v>
      </c>
      <c r="E29" s="111">
        <v>0.0</v>
      </c>
      <c r="F29" s="111" t="s">
        <v>4</v>
      </c>
      <c r="G29" s="111">
        <v>0.0</v>
      </c>
      <c r="H29" s="111" t="s">
        <v>51</v>
      </c>
      <c r="I29" s="111">
        <v>0.0</v>
      </c>
      <c r="J29" s="111" t="s">
        <v>51</v>
      </c>
      <c r="K29" s="111">
        <v>0.0</v>
      </c>
      <c r="L29" s="111" t="s">
        <v>51</v>
      </c>
      <c r="M29" s="111">
        <v>0.0</v>
      </c>
      <c r="N29" s="111" t="s">
        <v>51</v>
      </c>
      <c r="O29" s="111">
        <v>0.0</v>
      </c>
      <c r="P29" s="169">
        <f t="shared" si="2"/>
        <v>0</v>
      </c>
      <c r="Q29" s="77" t="s">
        <v>293</v>
      </c>
    </row>
    <row r="30">
      <c r="A30" s="168" t="s">
        <v>74</v>
      </c>
      <c r="B30" s="112" t="s">
        <v>4</v>
      </c>
      <c r="C30" s="96">
        <v>0.0</v>
      </c>
      <c r="D30" s="96" t="s">
        <v>17</v>
      </c>
      <c r="E30" s="96">
        <v>8.0</v>
      </c>
      <c r="F30" s="96" t="s">
        <v>17</v>
      </c>
      <c r="G30" s="96">
        <v>8.0</v>
      </c>
      <c r="H30" s="96" t="s">
        <v>17</v>
      </c>
      <c r="I30" s="96">
        <v>8.0</v>
      </c>
      <c r="J30" s="96" t="s">
        <v>17</v>
      </c>
      <c r="K30" s="96">
        <v>8.0</v>
      </c>
      <c r="L30" s="96" t="s">
        <v>17</v>
      </c>
      <c r="M30" s="96">
        <v>8.0</v>
      </c>
      <c r="N30" s="112" t="s">
        <v>4</v>
      </c>
      <c r="O30" s="96">
        <v>0.0</v>
      </c>
      <c r="P30" s="169">
        <f t="shared" si="2"/>
        <v>40</v>
      </c>
      <c r="Q30" s="77"/>
    </row>
    <row r="31">
      <c r="A31" s="168" t="s">
        <v>84</v>
      </c>
      <c r="B31" s="96" t="s">
        <v>51</v>
      </c>
      <c r="C31" s="96">
        <v>8.0</v>
      </c>
      <c r="D31" s="96" t="s">
        <v>267</v>
      </c>
      <c r="E31" s="96">
        <v>5.0</v>
      </c>
      <c r="F31" s="96" t="s">
        <v>267</v>
      </c>
      <c r="G31" s="96">
        <v>5.0</v>
      </c>
      <c r="H31" s="96" t="s">
        <v>268</v>
      </c>
      <c r="I31" s="96">
        <v>6.0</v>
      </c>
      <c r="J31" s="96" t="s">
        <v>51</v>
      </c>
      <c r="K31" s="96">
        <v>8.0</v>
      </c>
      <c r="L31" s="96" t="s">
        <v>51</v>
      </c>
      <c r="M31" s="96">
        <v>8.0</v>
      </c>
      <c r="N31" s="112" t="s">
        <v>4</v>
      </c>
      <c r="O31" s="96">
        <v>0.0</v>
      </c>
      <c r="P31" s="169">
        <f t="shared" si="2"/>
        <v>40</v>
      </c>
      <c r="Q31" s="77"/>
    </row>
    <row r="32">
      <c r="A32" s="168" t="s">
        <v>98</v>
      </c>
      <c r="B32" s="164" t="s">
        <v>164</v>
      </c>
      <c r="C32" s="96">
        <v>0.0</v>
      </c>
      <c r="D32" s="96" t="s">
        <v>51</v>
      </c>
      <c r="E32" s="96">
        <v>8.0</v>
      </c>
      <c r="F32" s="96" t="s">
        <v>51</v>
      </c>
      <c r="G32" s="96">
        <v>8.0</v>
      </c>
      <c r="H32" s="96" t="s">
        <v>51</v>
      </c>
      <c r="I32" s="96">
        <v>8.0</v>
      </c>
      <c r="J32" s="96" t="s">
        <v>51</v>
      </c>
      <c r="K32" s="96">
        <v>8.0</v>
      </c>
      <c r="L32" s="96" t="s">
        <v>51</v>
      </c>
      <c r="M32" s="96">
        <v>8.0</v>
      </c>
      <c r="N32" s="112" t="s">
        <v>4</v>
      </c>
      <c r="O32" s="96">
        <v>0.0</v>
      </c>
      <c r="P32" s="169">
        <f t="shared" si="2"/>
        <v>40</v>
      </c>
      <c r="Q32" s="61"/>
    </row>
    <row r="33">
      <c r="A33" s="170" t="s">
        <v>80</v>
      </c>
      <c r="B33" s="90" t="s">
        <v>36</v>
      </c>
      <c r="C33" s="125">
        <v>8.0</v>
      </c>
      <c r="D33" s="112" t="s">
        <v>4</v>
      </c>
      <c r="E33" s="96">
        <v>0.0</v>
      </c>
      <c r="F33" s="90" t="s">
        <v>36</v>
      </c>
      <c r="G33" s="125">
        <v>8.0</v>
      </c>
      <c r="H33" s="90" t="s">
        <v>36</v>
      </c>
      <c r="I33" s="125">
        <v>8.0</v>
      </c>
      <c r="J33" s="90" t="s">
        <v>36</v>
      </c>
      <c r="K33" s="125">
        <v>8.0</v>
      </c>
      <c r="L33" s="90" t="s">
        <v>36</v>
      </c>
      <c r="M33" s="125">
        <v>8.0</v>
      </c>
      <c r="N33" s="130" t="s">
        <v>4</v>
      </c>
      <c r="O33" s="125">
        <v>0.0</v>
      </c>
      <c r="P33" s="169">
        <f t="shared" si="2"/>
        <v>40</v>
      </c>
      <c r="Q33" s="61"/>
    </row>
    <row r="34">
      <c r="A34" s="168" t="s">
        <v>78</v>
      </c>
      <c r="B34" s="96" t="s">
        <v>51</v>
      </c>
      <c r="C34" s="96">
        <v>8.0</v>
      </c>
      <c r="D34" s="112" t="s">
        <v>4</v>
      </c>
      <c r="E34" s="96">
        <v>0.0</v>
      </c>
      <c r="F34" s="96" t="s">
        <v>51</v>
      </c>
      <c r="G34" s="96">
        <v>8.0</v>
      </c>
      <c r="H34" s="96" t="s">
        <v>51</v>
      </c>
      <c r="I34" s="96">
        <v>8.0</v>
      </c>
      <c r="J34" s="96" t="s">
        <v>51</v>
      </c>
      <c r="K34" s="96">
        <v>8.0</v>
      </c>
      <c r="L34" s="96" t="s">
        <v>51</v>
      </c>
      <c r="M34" s="96">
        <v>8.0</v>
      </c>
      <c r="N34" s="112" t="s">
        <v>4</v>
      </c>
      <c r="O34" s="96">
        <v>0.0</v>
      </c>
      <c r="P34" s="169">
        <f t="shared" si="2"/>
        <v>40</v>
      </c>
      <c r="Q34" s="61"/>
    </row>
    <row r="35">
      <c r="A35" s="168" t="s">
        <v>94</v>
      </c>
      <c r="B35" s="164" t="s">
        <v>278</v>
      </c>
      <c r="C35" s="96">
        <v>8.0</v>
      </c>
      <c r="D35" s="112" t="s">
        <v>4</v>
      </c>
      <c r="E35" s="96">
        <v>0.0</v>
      </c>
      <c r="F35" s="112" t="s">
        <v>4</v>
      </c>
      <c r="G35" s="96">
        <v>0.0</v>
      </c>
      <c r="H35" s="96" t="s">
        <v>36</v>
      </c>
      <c r="I35" s="96">
        <v>8.0</v>
      </c>
      <c r="J35" s="96" t="s">
        <v>36</v>
      </c>
      <c r="K35" s="96">
        <v>8.0</v>
      </c>
      <c r="L35" s="96" t="s">
        <v>36</v>
      </c>
      <c r="M35" s="96">
        <v>8.0</v>
      </c>
      <c r="N35" s="112" t="s">
        <v>4</v>
      </c>
      <c r="O35" s="96">
        <v>0.0</v>
      </c>
      <c r="P35" s="169">
        <f t="shared" si="2"/>
        <v>32</v>
      </c>
      <c r="Q35" s="61"/>
    </row>
    <row r="36">
      <c r="A36" s="168" t="s">
        <v>86</v>
      </c>
      <c r="B36" s="112" t="s">
        <v>4</v>
      </c>
      <c r="C36" s="96">
        <v>0.0</v>
      </c>
      <c r="D36" s="96" t="s">
        <v>17</v>
      </c>
      <c r="E36" s="96">
        <v>8.0</v>
      </c>
      <c r="F36" s="112" t="s">
        <v>4</v>
      </c>
      <c r="G36" s="96">
        <v>0.0</v>
      </c>
      <c r="H36" s="96" t="s">
        <v>17</v>
      </c>
      <c r="I36" s="96">
        <v>8.0</v>
      </c>
      <c r="J36" s="96" t="s">
        <v>17</v>
      </c>
      <c r="K36" s="96">
        <v>8.0</v>
      </c>
      <c r="L36" s="96" t="s">
        <v>17</v>
      </c>
      <c r="M36" s="96">
        <v>8.0</v>
      </c>
      <c r="N36" s="96" t="s">
        <v>17</v>
      </c>
      <c r="O36" s="96">
        <v>8.0</v>
      </c>
      <c r="P36" s="169">
        <f t="shared" si="2"/>
        <v>40</v>
      </c>
      <c r="Q36" s="61"/>
    </row>
    <row r="38">
      <c r="A38" s="115" t="s">
        <v>294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</row>
    <row r="39">
      <c r="A39" s="167" t="s">
        <v>65</v>
      </c>
      <c r="B39" s="147">
        <v>46125.0</v>
      </c>
      <c r="C39" s="118"/>
      <c r="D39" s="147">
        <v>46126.0</v>
      </c>
      <c r="E39" s="118"/>
      <c r="F39" s="117" t="s">
        <v>295</v>
      </c>
      <c r="G39" s="118"/>
      <c r="H39" s="147">
        <v>46128.0</v>
      </c>
      <c r="I39" s="118"/>
      <c r="J39" s="147">
        <v>46129.0</v>
      </c>
      <c r="K39" s="118"/>
      <c r="L39" s="147">
        <v>46130.0</v>
      </c>
      <c r="M39" s="118"/>
      <c r="N39" s="147">
        <v>46131.0</v>
      </c>
      <c r="O39" s="118"/>
      <c r="P39" s="117" t="s">
        <v>107</v>
      </c>
      <c r="Q39" s="119" t="s">
        <v>212</v>
      </c>
    </row>
    <row r="40">
      <c r="A40" s="171" t="s">
        <v>82</v>
      </c>
      <c r="B40" s="148" t="s">
        <v>277</v>
      </c>
      <c r="C40" s="96">
        <v>8.0</v>
      </c>
      <c r="D40" s="96" t="s">
        <v>51</v>
      </c>
      <c r="E40" s="96">
        <v>8.0</v>
      </c>
      <c r="F40" s="112" t="s">
        <v>4</v>
      </c>
      <c r="G40" s="96">
        <v>0.0</v>
      </c>
      <c r="H40" s="96" t="s">
        <v>51</v>
      </c>
      <c r="I40" s="96">
        <v>8.0</v>
      </c>
      <c r="J40" s="96" t="s">
        <v>51</v>
      </c>
      <c r="K40" s="96">
        <v>8.0</v>
      </c>
      <c r="L40" s="96" t="s">
        <v>51</v>
      </c>
      <c r="M40" s="96">
        <v>8.0</v>
      </c>
      <c r="N40" s="112" t="s">
        <v>4</v>
      </c>
      <c r="O40" s="96">
        <v>0.0</v>
      </c>
      <c r="P40" s="169">
        <f t="shared" ref="P40:P54" si="3">C40+E40+G40+I40+K40+M40+O40</f>
        <v>40</v>
      </c>
      <c r="Q40" s="77"/>
    </row>
    <row r="41">
      <c r="A41" s="171" t="s">
        <v>90</v>
      </c>
      <c r="B41" s="112" t="s">
        <v>4</v>
      </c>
      <c r="C41" s="96">
        <v>0.0</v>
      </c>
      <c r="D41" s="96" t="s">
        <v>51</v>
      </c>
      <c r="E41" s="96">
        <v>8.0</v>
      </c>
      <c r="F41" s="96" t="s">
        <v>51</v>
      </c>
      <c r="G41" s="96">
        <v>8.0</v>
      </c>
      <c r="H41" s="96" t="s">
        <v>51</v>
      </c>
      <c r="I41" s="96">
        <v>8.0</v>
      </c>
      <c r="J41" s="96" t="s">
        <v>51</v>
      </c>
      <c r="K41" s="96">
        <v>8.0</v>
      </c>
      <c r="L41" s="96" t="s">
        <v>51</v>
      </c>
      <c r="M41" s="96">
        <v>8.0</v>
      </c>
      <c r="N41" s="112" t="s">
        <v>4</v>
      </c>
      <c r="O41" s="96">
        <v>0.0</v>
      </c>
      <c r="P41" s="169">
        <f t="shared" si="3"/>
        <v>40</v>
      </c>
      <c r="Q41" s="61"/>
    </row>
    <row r="42">
      <c r="A42" s="171" t="s">
        <v>88</v>
      </c>
      <c r="B42" s="96" t="s">
        <v>36</v>
      </c>
      <c r="C42" s="96">
        <v>8.0</v>
      </c>
      <c r="D42" s="96" t="s">
        <v>36</v>
      </c>
      <c r="E42" s="96">
        <v>8.0</v>
      </c>
      <c r="F42" s="112" t="s">
        <v>4</v>
      </c>
      <c r="G42" s="96">
        <v>0.0</v>
      </c>
      <c r="H42" s="96" t="s">
        <v>36</v>
      </c>
      <c r="I42" s="96">
        <v>8.0</v>
      </c>
      <c r="J42" s="96" t="s">
        <v>36</v>
      </c>
      <c r="K42" s="96">
        <v>8.0</v>
      </c>
      <c r="L42" s="96" t="s">
        <v>36</v>
      </c>
      <c r="M42" s="96">
        <v>8.0</v>
      </c>
      <c r="N42" s="112" t="s">
        <v>4</v>
      </c>
      <c r="O42" s="96">
        <v>0.0</v>
      </c>
      <c r="P42" s="169">
        <f t="shared" si="3"/>
        <v>40</v>
      </c>
      <c r="Q42" s="61"/>
    </row>
    <row r="43">
      <c r="A43" s="171" t="s">
        <v>70</v>
      </c>
      <c r="B43" s="80" t="s">
        <v>51</v>
      </c>
      <c r="C43" s="80">
        <v>8.0</v>
      </c>
      <c r="D43" s="80" t="s">
        <v>267</v>
      </c>
      <c r="E43" s="80">
        <v>5.0</v>
      </c>
      <c r="F43" s="80" t="s">
        <v>267</v>
      </c>
      <c r="G43" s="80">
        <v>5.0</v>
      </c>
      <c r="H43" s="80" t="s">
        <v>268</v>
      </c>
      <c r="I43" s="80">
        <v>6.0</v>
      </c>
      <c r="J43" s="80" t="s">
        <v>51</v>
      </c>
      <c r="K43" s="80">
        <v>8.0</v>
      </c>
      <c r="L43" s="80" t="s">
        <v>51</v>
      </c>
      <c r="M43" s="80">
        <v>8.0</v>
      </c>
      <c r="N43" s="81" t="s">
        <v>4</v>
      </c>
      <c r="O43" s="80">
        <v>0.0</v>
      </c>
      <c r="P43" s="169">
        <f t="shared" si="3"/>
        <v>40</v>
      </c>
      <c r="Q43" s="61"/>
    </row>
    <row r="44">
      <c r="A44" s="168" t="s">
        <v>72</v>
      </c>
      <c r="B44" s="112" t="s">
        <v>4</v>
      </c>
      <c r="C44" s="96">
        <v>0.0</v>
      </c>
      <c r="D44" s="96" t="s">
        <v>51</v>
      </c>
      <c r="E44" s="96">
        <v>8.0</v>
      </c>
      <c r="F44" s="112" t="s">
        <v>4</v>
      </c>
      <c r="G44" s="96">
        <v>0.0</v>
      </c>
      <c r="H44" s="96" t="s">
        <v>51</v>
      </c>
      <c r="I44" s="96">
        <v>8.0</v>
      </c>
      <c r="J44" s="96" t="s">
        <v>51</v>
      </c>
      <c r="K44" s="96">
        <v>8.0</v>
      </c>
      <c r="L44" s="96" t="s">
        <v>51</v>
      </c>
      <c r="M44" s="96">
        <v>8.0</v>
      </c>
      <c r="N44" s="96" t="s">
        <v>51</v>
      </c>
      <c r="O44" s="96">
        <v>8.0</v>
      </c>
      <c r="P44" s="169">
        <f t="shared" si="3"/>
        <v>40</v>
      </c>
      <c r="Q44" s="77"/>
    </row>
    <row r="45">
      <c r="A45" s="168" t="s">
        <v>96</v>
      </c>
      <c r="B45" s="96" t="s">
        <v>51</v>
      </c>
      <c r="C45" s="96">
        <v>8.0</v>
      </c>
      <c r="D45" s="96" t="s">
        <v>51</v>
      </c>
      <c r="E45" s="96">
        <v>8.0</v>
      </c>
      <c r="F45" s="112" t="s">
        <v>4</v>
      </c>
      <c r="G45" s="96">
        <v>0.0</v>
      </c>
      <c r="H45" s="96" t="s">
        <v>51</v>
      </c>
      <c r="I45" s="96">
        <v>8.0</v>
      </c>
      <c r="J45" s="96" t="s">
        <v>51</v>
      </c>
      <c r="K45" s="96">
        <v>8.0</v>
      </c>
      <c r="L45" s="96" t="s">
        <v>51</v>
      </c>
      <c r="M45" s="96">
        <v>8.0</v>
      </c>
      <c r="N45" s="112" t="s">
        <v>4</v>
      </c>
      <c r="O45" s="96">
        <v>0.0</v>
      </c>
      <c r="P45" s="169">
        <f t="shared" si="3"/>
        <v>40</v>
      </c>
      <c r="Q45" s="61"/>
    </row>
    <row r="46">
      <c r="A46" s="168" t="s">
        <v>92</v>
      </c>
      <c r="B46" s="96" t="s">
        <v>51</v>
      </c>
      <c r="C46" s="96">
        <v>8.0</v>
      </c>
      <c r="D46" s="112" t="s">
        <v>4</v>
      </c>
      <c r="E46" s="96">
        <v>0.0</v>
      </c>
      <c r="F46" s="96" t="s">
        <v>51</v>
      </c>
      <c r="G46" s="96">
        <v>8.0</v>
      </c>
      <c r="H46" s="96" t="s">
        <v>51</v>
      </c>
      <c r="I46" s="96">
        <v>8.0</v>
      </c>
      <c r="J46" s="96" t="s">
        <v>51</v>
      </c>
      <c r="K46" s="96">
        <v>8.0</v>
      </c>
      <c r="L46" s="96" t="s">
        <v>51</v>
      </c>
      <c r="M46" s="96">
        <v>8.0</v>
      </c>
      <c r="N46" s="112" t="s">
        <v>4</v>
      </c>
      <c r="O46" s="96">
        <v>0.0</v>
      </c>
      <c r="P46" s="169">
        <f t="shared" si="3"/>
        <v>40</v>
      </c>
      <c r="Q46" s="77"/>
    </row>
    <row r="47">
      <c r="A47" s="168" t="s">
        <v>76</v>
      </c>
      <c r="B47" s="111" t="s">
        <v>51</v>
      </c>
      <c r="C47" s="111"/>
      <c r="D47" s="111" t="s">
        <v>4</v>
      </c>
      <c r="E47" s="111">
        <v>0.0</v>
      </c>
      <c r="F47" s="111" t="s">
        <v>4</v>
      </c>
      <c r="G47" s="111">
        <v>0.0</v>
      </c>
      <c r="H47" s="111" t="s">
        <v>51</v>
      </c>
      <c r="I47" s="111"/>
      <c r="J47" s="111" t="s">
        <v>51</v>
      </c>
      <c r="K47" s="111"/>
      <c r="L47" s="111" t="s">
        <v>51</v>
      </c>
      <c r="M47" s="111"/>
      <c r="N47" s="111" t="s">
        <v>51</v>
      </c>
      <c r="O47" s="111"/>
      <c r="P47" s="169">
        <f t="shared" si="3"/>
        <v>0</v>
      </c>
      <c r="Q47" s="77"/>
    </row>
    <row r="48">
      <c r="A48" s="168" t="s">
        <v>74</v>
      </c>
      <c r="B48" s="112" t="s">
        <v>4</v>
      </c>
      <c r="C48" s="96">
        <v>0.0</v>
      </c>
      <c r="D48" s="96" t="s">
        <v>17</v>
      </c>
      <c r="E48" s="96">
        <v>8.0</v>
      </c>
      <c r="F48" s="96" t="s">
        <v>17</v>
      </c>
      <c r="G48" s="96">
        <v>8.0</v>
      </c>
      <c r="H48" s="96" t="s">
        <v>17</v>
      </c>
      <c r="I48" s="96">
        <v>8.0</v>
      </c>
      <c r="J48" s="96" t="s">
        <v>17</v>
      </c>
      <c r="K48" s="96">
        <v>8.0</v>
      </c>
      <c r="L48" s="96" t="s">
        <v>17</v>
      </c>
      <c r="M48" s="96">
        <v>8.0</v>
      </c>
      <c r="N48" s="112" t="s">
        <v>4</v>
      </c>
      <c r="O48" s="96">
        <v>0.0</v>
      </c>
      <c r="P48" s="169">
        <f t="shared" si="3"/>
        <v>40</v>
      </c>
      <c r="Q48" s="77"/>
    </row>
    <row r="49">
      <c r="A49" s="168" t="s">
        <v>84</v>
      </c>
      <c r="B49" s="96" t="s">
        <v>51</v>
      </c>
      <c r="C49" s="96">
        <v>8.0</v>
      </c>
      <c r="D49" s="96" t="s">
        <v>267</v>
      </c>
      <c r="E49" s="96">
        <v>5.0</v>
      </c>
      <c r="F49" s="96" t="s">
        <v>267</v>
      </c>
      <c r="G49" s="96">
        <v>5.0</v>
      </c>
      <c r="H49" s="96" t="s">
        <v>268</v>
      </c>
      <c r="I49" s="96">
        <v>6.0</v>
      </c>
      <c r="J49" s="96" t="s">
        <v>51</v>
      </c>
      <c r="K49" s="96">
        <v>8.0</v>
      </c>
      <c r="L49" s="96" t="s">
        <v>51</v>
      </c>
      <c r="M49" s="96">
        <v>8.0</v>
      </c>
      <c r="N49" s="112" t="s">
        <v>4</v>
      </c>
      <c r="O49" s="96">
        <v>0.0</v>
      </c>
      <c r="P49" s="169">
        <f t="shared" si="3"/>
        <v>40</v>
      </c>
      <c r="Q49" s="77"/>
    </row>
    <row r="50">
      <c r="A50" s="168" t="s">
        <v>98</v>
      </c>
      <c r="B50" s="112" t="s">
        <v>4</v>
      </c>
      <c r="C50" s="96">
        <v>0.0</v>
      </c>
      <c r="D50" s="96" t="s">
        <v>51</v>
      </c>
      <c r="E50" s="96">
        <v>8.0</v>
      </c>
      <c r="F50" s="96" t="s">
        <v>51</v>
      </c>
      <c r="G50" s="96">
        <v>8.0</v>
      </c>
      <c r="H50" s="96" t="s">
        <v>51</v>
      </c>
      <c r="I50" s="96">
        <v>8.0</v>
      </c>
      <c r="J50" s="96" t="s">
        <v>51</v>
      </c>
      <c r="K50" s="96">
        <v>8.0</v>
      </c>
      <c r="L50" s="96" t="s">
        <v>51</v>
      </c>
      <c r="M50" s="96">
        <v>8.0</v>
      </c>
      <c r="N50" s="112" t="s">
        <v>4</v>
      </c>
      <c r="O50" s="96">
        <v>0.0</v>
      </c>
      <c r="P50" s="169">
        <f t="shared" si="3"/>
        <v>40</v>
      </c>
      <c r="Q50" s="61"/>
    </row>
    <row r="51">
      <c r="A51" s="170" t="s">
        <v>80</v>
      </c>
      <c r="B51" s="90" t="s">
        <v>36</v>
      </c>
      <c r="C51" s="125">
        <v>8.0</v>
      </c>
      <c r="D51" s="112" t="s">
        <v>4</v>
      </c>
      <c r="E51" s="96">
        <v>0.0</v>
      </c>
      <c r="F51" s="90" t="s">
        <v>36</v>
      </c>
      <c r="G51" s="125">
        <v>8.0</v>
      </c>
      <c r="H51" s="90" t="s">
        <v>36</v>
      </c>
      <c r="I51" s="125">
        <v>8.0</v>
      </c>
      <c r="J51" s="90" t="s">
        <v>36</v>
      </c>
      <c r="K51" s="125">
        <v>8.0</v>
      </c>
      <c r="L51" s="90" t="s">
        <v>36</v>
      </c>
      <c r="M51" s="125">
        <v>8.0</v>
      </c>
      <c r="N51" s="130" t="s">
        <v>4</v>
      </c>
      <c r="O51" s="125">
        <v>0.0</v>
      </c>
      <c r="P51" s="169">
        <f t="shared" si="3"/>
        <v>40</v>
      </c>
      <c r="Q51" s="61"/>
    </row>
    <row r="52">
      <c r="A52" s="168" t="s">
        <v>78</v>
      </c>
      <c r="B52" s="96" t="s">
        <v>51</v>
      </c>
      <c r="C52" s="96">
        <v>8.0</v>
      </c>
      <c r="D52" s="112" t="s">
        <v>4</v>
      </c>
      <c r="E52" s="96">
        <v>0.0</v>
      </c>
      <c r="F52" s="96" t="s">
        <v>51</v>
      </c>
      <c r="G52" s="96">
        <v>8.0</v>
      </c>
      <c r="H52" s="96" t="s">
        <v>51</v>
      </c>
      <c r="I52" s="96">
        <v>8.0</v>
      </c>
      <c r="J52" s="96" t="s">
        <v>51</v>
      </c>
      <c r="K52" s="96">
        <v>8.0</v>
      </c>
      <c r="L52" s="96" t="s">
        <v>51</v>
      </c>
      <c r="M52" s="96">
        <v>8.0</v>
      </c>
      <c r="N52" s="112" t="s">
        <v>4</v>
      </c>
      <c r="O52" s="96">
        <v>0.0</v>
      </c>
      <c r="P52" s="169">
        <f t="shared" si="3"/>
        <v>40</v>
      </c>
      <c r="Q52" s="61"/>
    </row>
    <row r="53">
      <c r="A53" s="168" t="s">
        <v>94</v>
      </c>
      <c r="B53" s="96" t="s">
        <v>36</v>
      </c>
      <c r="C53" s="96">
        <v>8.0</v>
      </c>
      <c r="D53" s="112" t="s">
        <v>4</v>
      </c>
      <c r="E53" s="96">
        <v>0.0</v>
      </c>
      <c r="F53" s="96" t="s">
        <v>36</v>
      </c>
      <c r="G53" s="96">
        <v>8.0</v>
      </c>
      <c r="H53" s="96" t="s">
        <v>36</v>
      </c>
      <c r="I53" s="96">
        <v>8.0</v>
      </c>
      <c r="J53" s="96" t="s">
        <v>36</v>
      </c>
      <c r="K53" s="96">
        <v>8.0</v>
      </c>
      <c r="L53" s="96" t="s">
        <v>36</v>
      </c>
      <c r="M53" s="96">
        <v>8.0</v>
      </c>
      <c r="N53" s="112" t="s">
        <v>4</v>
      </c>
      <c r="O53" s="96">
        <v>0.0</v>
      </c>
      <c r="P53" s="169">
        <f t="shared" si="3"/>
        <v>40</v>
      </c>
      <c r="Q53" s="61"/>
    </row>
    <row r="54">
      <c r="A54" s="168" t="s">
        <v>86</v>
      </c>
      <c r="B54" s="112" t="s">
        <v>4</v>
      </c>
      <c r="C54" s="96">
        <v>0.0</v>
      </c>
      <c r="D54" s="112" t="s">
        <v>4</v>
      </c>
      <c r="E54" s="96">
        <v>0.0</v>
      </c>
      <c r="F54" s="96" t="s">
        <v>17</v>
      </c>
      <c r="G54" s="96">
        <v>8.0</v>
      </c>
      <c r="H54" s="96" t="s">
        <v>17</v>
      </c>
      <c r="I54" s="96">
        <v>8.0</v>
      </c>
      <c r="J54" s="96" t="s">
        <v>17</v>
      </c>
      <c r="K54" s="96">
        <v>8.0</v>
      </c>
      <c r="L54" s="96" t="s">
        <v>17</v>
      </c>
      <c r="M54" s="96">
        <v>8.0</v>
      </c>
      <c r="N54" s="96" t="s">
        <v>17</v>
      </c>
      <c r="O54" s="96">
        <v>8.0</v>
      </c>
      <c r="P54" s="169">
        <f t="shared" si="3"/>
        <v>40</v>
      </c>
      <c r="Q54" s="61"/>
    </row>
    <row r="56">
      <c r="A56" s="115" t="s">
        <v>296</v>
      </c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</row>
    <row r="57">
      <c r="A57" s="167" t="s">
        <v>65</v>
      </c>
      <c r="B57" s="158">
        <v>46132.0</v>
      </c>
      <c r="C57" s="141"/>
      <c r="D57" s="158">
        <v>46133.0</v>
      </c>
      <c r="E57" s="141"/>
      <c r="F57" s="140" t="s">
        <v>297</v>
      </c>
      <c r="G57" s="141"/>
      <c r="H57" s="158">
        <v>46135.0</v>
      </c>
      <c r="I57" s="141"/>
      <c r="J57" s="158">
        <v>46136.0</v>
      </c>
      <c r="K57" s="141"/>
      <c r="L57" s="158">
        <v>46137.0</v>
      </c>
      <c r="M57" s="141"/>
      <c r="N57" s="158">
        <v>46138.0</v>
      </c>
      <c r="O57" s="141"/>
      <c r="P57" s="117" t="s">
        <v>107</v>
      </c>
      <c r="Q57" s="119" t="s">
        <v>212</v>
      </c>
    </row>
    <row r="58">
      <c r="A58" s="171" t="s">
        <v>82</v>
      </c>
      <c r="B58" s="107" t="s">
        <v>277</v>
      </c>
      <c r="C58" s="107">
        <v>8.0</v>
      </c>
      <c r="D58" s="107" t="s">
        <v>51</v>
      </c>
      <c r="E58" s="107">
        <v>8.0</v>
      </c>
      <c r="F58" s="159" t="s">
        <v>4</v>
      </c>
      <c r="G58" s="107">
        <v>0.0</v>
      </c>
      <c r="H58" s="164" t="s">
        <v>278</v>
      </c>
      <c r="I58" s="107">
        <v>8.0</v>
      </c>
      <c r="J58" s="107" t="s">
        <v>51</v>
      </c>
      <c r="K58" s="107">
        <v>8.0</v>
      </c>
      <c r="L58" s="107" t="s">
        <v>51</v>
      </c>
      <c r="M58" s="107">
        <v>8.0</v>
      </c>
      <c r="N58" s="159" t="s">
        <v>4</v>
      </c>
      <c r="O58" s="107">
        <v>0.0</v>
      </c>
      <c r="P58" s="169">
        <f t="shared" ref="P58:P72" si="4">C58+E58+G58+I58+K58+M58+O58</f>
        <v>40</v>
      </c>
      <c r="Q58" s="77"/>
    </row>
    <row r="59">
      <c r="A59" s="171" t="s">
        <v>90</v>
      </c>
      <c r="B59" s="112" t="s">
        <v>4</v>
      </c>
      <c r="C59" s="96">
        <v>0.0</v>
      </c>
      <c r="D59" s="96" t="s">
        <v>51</v>
      </c>
      <c r="E59" s="96">
        <v>8.0</v>
      </c>
      <c r="F59" s="96" t="s">
        <v>51</v>
      </c>
      <c r="G59" s="96">
        <v>8.0</v>
      </c>
      <c r="H59" s="96" t="s">
        <v>51</v>
      </c>
      <c r="I59" s="96">
        <v>8.0</v>
      </c>
      <c r="J59" s="96" t="s">
        <v>51</v>
      </c>
      <c r="K59" s="96">
        <v>8.0</v>
      </c>
      <c r="L59" s="96" t="s">
        <v>51</v>
      </c>
      <c r="M59" s="96">
        <v>8.0</v>
      </c>
      <c r="N59" s="112" t="s">
        <v>4</v>
      </c>
      <c r="O59" s="96">
        <v>0.0</v>
      </c>
      <c r="P59" s="169">
        <f t="shared" si="4"/>
        <v>40</v>
      </c>
      <c r="Q59" s="61"/>
    </row>
    <row r="60">
      <c r="A60" s="171" t="s">
        <v>88</v>
      </c>
      <c r="B60" s="96" t="s">
        <v>36</v>
      </c>
      <c r="C60" s="96">
        <v>8.0</v>
      </c>
      <c r="D60" s="96" t="s">
        <v>36</v>
      </c>
      <c r="E60" s="96">
        <v>8.0</v>
      </c>
      <c r="F60" s="112" t="s">
        <v>4</v>
      </c>
      <c r="G60" s="96">
        <v>0.0</v>
      </c>
      <c r="H60" s="96" t="s">
        <v>36</v>
      </c>
      <c r="I60" s="96">
        <v>8.0</v>
      </c>
      <c r="J60" s="96" t="s">
        <v>36</v>
      </c>
      <c r="K60" s="96">
        <v>8.0</v>
      </c>
      <c r="L60" s="96" t="s">
        <v>36</v>
      </c>
      <c r="M60" s="96">
        <v>8.0</v>
      </c>
      <c r="N60" s="112" t="s">
        <v>4</v>
      </c>
      <c r="O60" s="96">
        <v>0.0</v>
      </c>
      <c r="P60" s="169">
        <f t="shared" si="4"/>
        <v>40</v>
      </c>
      <c r="Q60" s="61"/>
    </row>
    <row r="61">
      <c r="A61" s="171" t="s">
        <v>70</v>
      </c>
      <c r="B61" s="80" t="s">
        <v>51</v>
      </c>
      <c r="C61" s="80">
        <v>8.0</v>
      </c>
      <c r="D61" s="80" t="s">
        <v>267</v>
      </c>
      <c r="E61" s="80">
        <v>5.0</v>
      </c>
      <c r="F61" s="80" t="s">
        <v>267</v>
      </c>
      <c r="G61" s="80">
        <v>5.0</v>
      </c>
      <c r="H61" s="80" t="s">
        <v>268</v>
      </c>
      <c r="I61" s="80">
        <v>6.0</v>
      </c>
      <c r="J61" s="80" t="s">
        <v>51</v>
      </c>
      <c r="K61" s="80">
        <v>8.0</v>
      </c>
      <c r="L61" s="80" t="s">
        <v>51</v>
      </c>
      <c r="M61" s="80">
        <v>8.0</v>
      </c>
      <c r="N61" s="81" t="s">
        <v>4</v>
      </c>
      <c r="O61" s="80">
        <v>0.0</v>
      </c>
      <c r="P61" s="169">
        <f t="shared" si="4"/>
        <v>40</v>
      </c>
      <c r="Q61" s="61"/>
    </row>
    <row r="62">
      <c r="A62" s="171" t="s">
        <v>72</v>
      </c>
      <c r="B62" s="112" t="s">
        <v>4</v>
      </c>
      <c r="C62" s="96">
        <v>0.0</v>
      </c>
      <c r="D62" s="96" t="s">
        <v>51</v>
      </c>
      <c r="E62" s="96">
        <v>8.0</v>
      </c>
      <c r="F62" s="164" t="s">
        <v>164</v>
      </c>
      <c r="G62" s="96">
        <v>8.0</v>
      </c>
      <c r="H62" s="96" t="s">
        <v>51</v>
      </c>
      <c r="I62" s="96">
        <v>8.0</v>
      </c>
      <c r="J62" s="96" t="s">
        <v>51</v>
      </c>
      <c r="K62" s="96">
        <v>8.0</v>
      </c>
      <c r="L62" s="96" t="s">
        <v>51</v>
      </c>
      <c r="M62" s="96">
        <v>8.0</v>
      </c>
      <c r="N62" s="112" t="s">
        <v>4</v>
      </c>
      <c r="O62" s="96">
        <v>0.0</v>
      </c>
      <c r="P62" s="169">
        <f t="shared" si="4"/>
        <v>40</v>
      </c>
      <c r="Q62" s="77"/>
    </row>
    <row r="63">
      <c r="A63" s="171" t="s">
        <v>96</v>
      </c>
      <c r="B63" s="96" t="s">
        <v>51</v>
      </c>
      <c r="C63" s="96">
        <v>8.0</v>
      </c>
      <c r="D63" s="96" t="s">
        <v>51</v>
      </c>
      <c r="E63" s="96">
        <v>8.0</v>
      </c>
      <c r="F63" s="112" t="s">
        <v>4</v>
      </c>
      <c r="G63" s="96">
        <v>0.0</v>
      </c>
      <c r="H63" s="96" t="s">
        <v>51</v>
      </c>
      <c r="I63" s="96">
        <v>8.0</v>
      </c>
      <c r="J63" s="96" t="s">
        <v>51</v>
      </c>
      <c r="K63" s="96">
        <v>8.0</v>
      </c>
      <c r="L63" s="96" t="s">
        <v>51</v>
      </c>
      <c r="M63" s="96">
        <v>8.0</v>
      </c>
      <c r="N63" s="112" t="s">
        <v>4</v>
      </c>
      <c r="O63" s="96">
        <v>0.0</v>
      </c>
      <c r="P63" s="169">
        <f t="shared" si="4"/>
        <v>40</v>
      </c>
      <c r="Q63" s="61"/>
    </row>
    <row r="64">
      <c r="A64" s="168" t="s">
        <v>92</v>
      </c>
      <c r="B64" s="96" t="s">
        <v>51</v>
      </c>
      <c r="C64" s="96">
        <v>8.0</v>
      </c>
      <c r="D64" s="112" t="s">
        <v>4</v>
      </c>
      <c r="E64" s="96">
        <v>0.0</v>
      </c>
      <c r="F64" s="96" t="s">
        <v>51</v>
      </c>
      <c r="G64" s="96">
        <v>8.0</v>
      </c>
      <c r="H64" s="164" t="s">
        <v>278</v>
      </c>
      <c r="I64" s="80">
        <v>8.0</v>
      </c>
      <c r="J64" s="96" t="s">
        <v>51</v>
      </c>
      <c r="K64" s="96">
        <v>8.0</v>
      </c>
      <c r="L64" s="96" t="s">
        <v>51</v>
      </c>
      <c r="M64" s="96">
        <v>8.0</v>
      </c>
      <c r="N64" s="112" t="s">
        <v>4</v>
      </c>
      <c r="O64" s="96">
        <v>0.0</v>
      </c>
      <c r="P64" s="169">
        <f t="shared" si="4"/>
        <v>40</v>
      </c>
      <c r="Q64" s="77"/>
    </row>
    <row r="65">
      <c r="A65" s="168" t="s">
        <v>76</v>
      </c>
      <c r="B65" s="96" t="s">
        <v>51</v>
      </c>
      <c r="C65" s="96">
        <v>8.0</v>
      </c>
      <c r="D65" s="112" t="s">
        <v>4</v>
      </c>
      <c r="E65" s="96">
        <v>0.0</v>
      </c>
      <c r="F65" s="112" t="s">
        <v>4</v>
      </c>
      <c r="G65" s="96">
        <v>0.0</v>
      </c>
      <c r="H65" s="96" t="s">
        <v>51</v>
      </c>
      <c r="I65" s="96">
        <v>8.0</v>
      </c>
      <c r="J65" s="96" t="s">
        <v>51</v>
      </c>
      <c r="K65" s="96">
        <v>8.0</v>
      </c>
      <c r="L65" s="96" t="s">
        <v>51</v>
      </c>
      <c r="M65" s="96">
        <v>8.0</v>
      </c>
      <c r="N65" s="96" t="s">
        <v>51</v>
      </c>
      <c r="O65" s="96">
        <v>8.0</v>
      </c>
      <c r="P65" s="169">
        <f t="shared" si="4"/>
        <v>40</v>
      </c>
      <c r="Q65" s="77"/>
    </row>
    <row r="66">
      <c r="A66" s="168" t="s">
        <v>74</v>
      </c>
      <c r="B66" s="112" t="s">
        <v>4</v>
      </c>
      <c r="C66" s="96">
        <v>0.0</v>
      </c>
      <c r="D66" s="96" t="s">
        <v>17</v>
      </c>
      <c r="E66" s="96">
        <v>8.0</v>
      </c>
      <c r="F66" s="96" t="s">
        <v>17</v>
      </c>
      <c r="G66" s="96">
        <v>8.0</v>
      </c>
      <c r="H66" s="96" t="s">
        <v>17</v>
      </c>
      <c r="I66" s="96">
        <v>8.0</v>
      </c>
      <c r="J66" s="96" t="s">
        <v>17</v>
      </c>
      <c r="K66" s="96">
        <v>8.0</v>
      </c>
      <c r="L66" s="96" t="s">
        <v>17</v>
      </c>
      <c r="M66" s="96">
        <v>8.0</v>
      </c>
      <c r="N66" s="112" t="s">
        <v>4</v>
      </c>
      <c r="O66" s="96">
        <v>0.0</v>
      </c>
      <c r="P66" s="169">
        <f t="shared" si="4"/>
        <v>40</v>
      </c>
      <c r="Q66" s="77"/>
    </row>
    <row r="67">
      <c r="A67" s="168" t="s">
        <v>84</v>
      </c>
      <c r="B67" s="96" t="s">
        <v>51</v>
      </c>
      <c r="C67" s="96">
        <v>8.0</v>
      </c>
      <c r="D67" s="96" t="s">
        <v>267</v>
      </c>
      <c r="E67" s="96">
        <v>5.0</v>
      </c>
      <c r="F67" s="96" t="s">
        <v>267</v>
      </c>
      <c r="G67" s="96">
        <v>5.0</v>
      </c>
      <c r="H67" s="164" t="s">
        <v>278</v>
      </c>
      <c r="I67" s="80">
        <v>6.0</v>
      </c>
      <c r="J67" s="96" t="s">
        <v>51</v>
      </c>
      <c r="K67" s="96">
        <v>8.0</v>
      </c>
      <c r="L67" s="96" t="s">
        <v>51</v>
      </c>
      <c r="M67" s="96">
        <v>8.0</v>
      </c>
      <c r="N67" s="112" t="s">
        <v>4</v>
      </c>
      <c r="O67" s="96">
        <v>0.0</v>
      </c>
      <c r="P67" s="169">
        <f t="shared" si="4"/>
        <v>40</v>
      </c>
      <c r="Q67" s="77"/>
    </row>
    <row r="68">
      <c r="A68" s="168" t="s">
        <v>98</v>
      </c>
      <c r="B68" s="112" t="s">
        <v>4</v>
      </c>
      <c r="C68" s="96">
        <v>0.0</v>
      </c>
      <c r="D68" s="96" t="s">
        <v>51</v>
      </c>
      <c r="E68" s="96">
        <v>8.0</v>
      </c>
      <c r="F68" s="96" t="s">
        <v>51</v>
      </c>
      <c r="G68" s="96">
        <v>8.0</v>
      </c>
      <c r="H68" s="96" t="s">
        <v>51</v>
      </c>
      <c r="I68" s="96">
        <v>8.0</v>
      </c>
      <c r="J68" s="96" t="s">
        <v>51</v>
      </c>
      <c r="K68" s="96">
        <v>8.0</v>
      </c>
      <c r="L68" s="96" t="s">
        <v>51</v>
      </c>
      <c r="M68" s="96">
        <v>8.0</v>
      </c>
      <c r="N68" s="112" t="s">
        <v>4</v>
      </c>
      <c r="O68" s="96">
        <v>0.0</v>
      </c>
      <c r="P68" s="169">
        <f t="shared" si="4"/>
        <v>40</v>
      </c>
      <c r="Q68" s="61"/>
    </row>
    <row r="69">
      <c r="A69" s="168" t="s">
        <v>80</v>
      </c>
      <c r="B69" s="90" t="s">
        <v>36</v>
      </c>
      <c r="C69" s="125">
        <v>8.0</v>
      </c>
      <c r="D69" s="112" t="s">
        <v>4</v>
      </c>
      <c r="E69" s="96">
        <v>0.0</v>
      </c>
      <c r="F69" s="90" t="s">
        <v>36</v>
      </c>
      <c r="G69" s="125">
        <v>8.0</v>
      </c>
      <c r="H69" s="90" t="s">
        <v>36</v>
      </c>
      <c r="I69" s="125">
        <v>8.0</v>
      </c>
      <c r="J69" s="90" t="s">
        <v>36</v>
      </c>
      <c r="K69" s="125">
        <v>8.0</v>
      </c>
      <c r="L69" s="90" t="s">
        <v>36</v>
      </c>
      <c r="M69" s="125">
        <v>8.0</v>
      </c>
      <c r="N69" s="130" t="s">
        <v>4</v>
      </c>
      <c r="O69" s="125">
        <v>0.0</v>
      </c>
      <c r="P69" s="169">
        <f t="shared" si="4"/>
        <v>40</v>
      </c>
      <c r="Q69" s="61"/>
    </row>
    <row r="70">
      <c r="A70" s="168" t="s">
        <v>78</v>
      </c>
      <c r="B70" s="96" t="s">
        <v>51</v>
      </c>
      <c r="C70" s="96">
        <v>8.0</v>
      </c>
      <c r="D70" s="112" t="s">
        <v>4</v>
      </c>
      <c r="E70" s="96">
        <v>0.0</v>
      </c>
      <c r="F70" s="96" t="s">
        <v>51</v>
      </c>
      <c r="G70" s="96">
        <v>8.0</v>
      </c>
      <c r="H70" s="96" t="s">
        <v>51</v>
      </c>
      <c r="I70" s="96">
        <v>8.0</v>
      </c>
      <c r="J70" s="96" t="s">
        <v>51</v>
      </c>
      <c r="K70" s="96">
        <v>8.0</v>
      </c>
      <c r="L70" s="96" t="s">
        <v>51</v>
      </c>
      <c r="M70" s="96">
        <v>8.0</v>
      </c>
      <c r="N70" s="112" t="s">
        <v>4</v>
      </c>
      <c r="O70" s="96">
        <v>0.0</v>
      </c>
      <c r="P70" s="169">
        <f t="shared" si="4"/>
        <v>40</v>
      </c>
      <c r="Q70" s="61"/>
    </row>
    <row r="71">
      <c r="A71" s="168" t="s">
        <v>94</v>
      </c>
      <c r="B71" s="96" t="s">
        <v>36</v>
      </c>
      <c r="C71" s="96">
        <v>8.0</v>
      </c>
      <c r="D71" s="112" t="s">
        <v>4</v>
      </c>
      <c r="E71" s="96">
        <v>0.0</v>
      </c>
      <c r="F71" s="96" t="s">
        <v>36</v>
      </c>
      <c r="G71" s="96">
        <v>8.0</v>
      </c>
      <c r="H71" s="96" t="s">
        <v>36</v>
      </c>
      <c r="I71" s="96">
        <v>8.0</v>
      </c>
      <c r="J71" s="96" t="s">
        <v>36</v>
      </c>
      <c r="K71" s="96">
        <v>8.0</v>
      </c>
      <c r="L71" s="96" t="s">
        <v>36</v>
      </c>
      <c r="M71" s="96">
        <v>8.0</v>
      </c>
      <c r="N71" s="112" t="s">
        <v>4</v>
      </c>
      <c r="O71" s="96">
        <v>0.0</v>
      </c>
      <c r="P71" s="169">
        <f t="shared" si="4"/>
        <v>40</v>
      </c>
      <c r="Q71" s="61"/>
    </row>
    <row r="72">
      <c r="A72" s="168" t="s">
        <v>86</v>
      </c>
      <c r="B72" s="112" t="s">
        <v>4</v>
      </c>
      <c r="C72" s="96">
        <v>0.0</v>
      </c>
      <c r="D72" s="112" t="s">
        <v>4</v>
      </c>
      <c r="E72" s="96">
        <v>0.0</v>
      </c>
      <c r="F72" s="96" t="s">
        <v>17</v>
      </c>
      <c r="G72" s="96">
        <v>8.0</v>
      </c>
      <c r="H72" s="96" t="s">
        <v>17</v>
      </c>
      <c r="I72" s="96">
        <v>8.0</v>
      </c>
      <c r="J72" s="96" t="s">
        <v>17</v>
      </c>
      <c r="K72" s="96">
        <v>8.0</v>
      </c>
      <c r="L72" s="96" t="s">
        <v>17</v>
      </c>
      <c r="M72" s="96">
        <v>8.0</v>
      </c>
      <c r="N72" s="96" t="s">
        <v>17</v>
      </c>
      <c r="O72" s="96">
        <v>8.0</v>
      </c>
      <c r="P72" s="169">
        <f t="shared" si="4"/>
        <v>40</v>
      </c>
      <c r="Q72" s="61"/>
    </row>
    <row r="74">
      <c r="A74" s="115" t="s">
        <v>298</v>
      </c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</row>
    <row r="75">
      <c r="A75" s="167" t="s">
        <v>65</v>
      </c>
      <c r="B75" s="147">
        <v>46139.0</v>
      </c>
      <c r="C75" s="118"/>
      <c r="D75" s="147">
        <v>46140.0</v>
      </c>
      <c r="E75" s="118"/>
      <c r="F75" s="117" t="s">
        <v>299</v>
      </c>
      <c r="G75" s="118"/>
      <c r="H75" s="147">
        <v>46142.0</v>
      </c>
      <c r="I75" s="118"/>
      <c r="J75" s="147">
        <v>46143.0</v>
      </c>
      <c r="K75" s="118"/>
      <c r="L75" s="147">
        <v>46144.0</v>
      </c>
      <c r="M75" s="118"/>
      <c r="N75" s="147">
        <v>46145.0</v>
      </c>
      <c r="O75" s="118"/>
      <c r="P75" s="117" t="s">
        <v>107</v>
      </c>
      <c r="Q75" s="119" t="s">
        <v>212</v>
      </c>
    </row>
    <row r="76">
      <c r="A76" s="171" t="s">
        <v>82</v>
      </c>
      <c r="B76" s="96" t="s">
        <v>277</v>
      </c>
      <c r="C76" s="96">
        <v>8.0</v>
      </c>
      <c r="D76" s="96" t="s">
        <v>51</v>
      </c>
      <c r="E76" s="96">
        <v>8.0</v>
      </c>
      <c r="F76" s="112" t="s">
        <v>4</v>
      </c>
      <c r="G76" s="96">
        <v>0.0</v>
      </c>
      <c r="H76" s="96" t="s">
        <v>51</v>
      </c>
      <c r="I76" s="96">
        <v>8.0</v>
      </c>
      <c r="J76" s="164" t="s">
        <v>278</v>
      </c>
      <c r="K76" s="96">
        <v>8.0</v>
      </c>
      <c r="L76" s="96" t="s">
        <v>51</v>
      </c>
      <c r="M76" s="96">
        <v>8.0</v>
      </c>
      <c r="N76" s="112" t="s">
        <v>4</v>
      </c>
      <c r="O76" s="96">
        <v>0.0</v>
      </c>
      <c r="P76" s="169">
        <f t="shared" ref="P76:P90" si="5">C76+E76+G76+I76+K76+M76+O76</f>
        <v>40</v>
      </c>
      <c r="Q76" s="77"/>
    </row>
    <row r="77">
      <c r="A77" s="171" t="s">
        <v>90</v>
      </c>
      <c r="B77" s="112" t="s">
        <v>4</v>
      </c>
      <c r="C77" s="96">
        <v>0.0</v>
      </c>
      <c r="D77" s="96" t="s">
        <v>51</v>
      </c>
      <c r="E77" s="96">
        <v>8.0</v>
      </c>
      <c r="F77" s="96" t="s">
        <v>51</v>
      </c>
      <c r="G77" s="96">
        <v>8.0</v>
      </c>
      <c r="H77" s="112" t="s">
        <v>4</v>
      </c>
      <c r="I77" s="96">
        <v>0.0</v>
      </c>
      <c r="J77" s="164" t="s">
        <v>278</v>
      </c>
      <c r="K77" s="96">
        <v>8.0</v>
      </c>
      <c r="L77" s="96" t="s">
        <v>51</v>
      </c>
      <c r="M77" s="96">
        <v>8.0</v>
      </c>
      <c r="N77" s="96" t="s">
        <v>51</v>
      </c>
      <c r="O77" s="96">
        <v>8.0</v>
      </c>
      <c r="P77" s="169">
        <f t="shared" si="5"/>
        <v>40</v>
      </c>
      <c r="Q77" s="61"/>
    </row>
    <row r="78">
      <c r="A78" s="171" t="s">
        <v>88</v>
      </c>
      <c r="B78" s="96" t="s">
        <v>36</v>
      </c>
      <c r="C78" s="96">
        <v>8.0</v>
      </c>
      <c r="D78" s="96" t="s">
        <v>36</v>
      </c>
      <c r="E78" s="96">
        <v>8.0</v>
      </c>
      <c r="F78" s="112" t="s">
        <v>4</v>
      </c>
      <c r="G78" s="96">
        <v>0.0</v>
      </c>
      <c r="H78" s="112" t="s">
        <v>4</v>
      </c>
      <c r="I78" s="96">
        <v>0.0</v>
      </c>
      <c r="J78" s="164" t="s">
        <v>278</v>
      </c>
      <c r="K78" s="96">
        <v>8.0</v>
      </c>
      <c r="L78" s="96" t="s">
        <v>36</v>
      </c>
      <c r="M78" s="96">
        <v>8.0</v>
      </c>
      <c r="N78" s="96" t="s">
        <v>36</v>
      </c>
      <c r="O78" s="96">
        <v>8.0</v>
      </c>
      <c r="P78" s="169">
        <f t="shared" si="5"/>
        <v>40</v>
      </c>
      <c r="Q78" s="61"/>
    </row>
    <row r="79">
      <c r="A79" s="171" t="s">
        <v>70</v>
      </c>
      <c r="B79" s="80" t="s">
        <v>51</v>
      </c>
      <c r="C79" s="80">
        <v>8.0</v>
      </c>
      <c r="D79" s="80" t="s">
        <v>267</v>
      </c>
      <c r="E79" s="80">
        <v>5.0</v>
      </c>
      <c r="F79" s="80" t="s">
        <v>267</v>
      </c>
      <c r="G79" s="80">
        <v>5.0</v>
      </c>
      <c r="H79" s="80" t="s">
        <v>268</v>
      </c>
      <c r="I79" s="80">
        <v>6.0</v>
      </c>
      <c r="J79" s="164" t="s">
        <v>278</v>
      </c>
      <c r="K79" s="96">
        <v>8.0</v>
      </c>
      <c r="L79" s="80" t="s">
        <v>51</v>
      </c>
      <c r="M79" s="80">
        <v>8.0</v>
      </c>
      <c r="N79" s="81" t="s">
        <v>4</v>
      </c>
      <c r="O79" s="80">
        <v>0.0</v>
      </c>
      <c r="P79" s="169">
        <f t="shared" si="5"/>
        <v>40</v>
      </c>
      <c r="Q79" s="61"/>
    </row>
    <row r="80">
      <c r="A80" s="171" t="s">
        <v>72</v>
      </c>
      <c r="B80" s="112" t="s">
        <v>4</v>
      </c>
      <c r="C80" s="96">
        <v>0.0</v>
      </c>
      <c r="D80" s="96" t="s">
        <v>51</v>
      </c>
      <c r="E80" s="96">
        <v>8.0</v>
      </c>
      <c r="F80" s="112" t="s">
        <v>4</v>
      </c>
      <c r="G80" s="96">
        <v>0.0</v>
      </c>
      <c r="H80" s="96" t="s">
        <v>51</v>
      </c>
      <c r="I80" s="96">
        <v>8.0</v>
      </c>
      <c r="J80" s="164" t="s">
        <v>278</v>
      </c>
      <c r="K80" s="96">
        <v>8.0</v>
      </c>
      <c r="L80" s="96" t="s">
        <v>51</v>
      </c>
      <c r="M80" s="96">
        <v>8.0</v>
      </c>
      <c r="N80" s="96" t="s">
        <v>51</v>
      </c>
      <c r="O80" s="96">
        <v>8.0</v>
      </c>
      <c r="P80" s="169">
        <f t="shared" si="5"/>
        <v>40</v>
      </c>
      <c r="Q80" s="77"/>
    </row>
    <row r="81">
      <c r="A81" s="168" t="s">
        <v>96</v>
      </c>
      <c r="B81" s="96" t="s">
        <v>51</v>
      </c>
      <c r="C81" s="96">
        <v>8.0</v>
      </c>
      <c r="D81" s="96" t="s">
        <v>51</v>
      </c>
      <c r="E81" s="96">
        <v>8.0</v>
      </c>
      <c r="F81" s="112" t="s">
        <v>4</v>
      </c>
      <c r="G81" s="96">
        <v>0.0</v>
      </c>
      <c r="H81" s="96" t="s">
        <v>51</v>
      </c>
      <c r="I81" s="96">
        <v>8.0</v>
      </c>
      <c r="J81" s="164" t="s">
        <v>278</v>
      </c>
      <c r="K81" s="96">
        <v>8.0</v>
      </c>
      <c r="L81" s="96" t="s">
        <v>51</v>
      </c>
      <c r="M81" s="96">
        <v>8.0</v>
      </c>
      <c r="N81" s="112" t="s">
        <v>4</v>
      </c>
      <c r="O81" s="96">
        <v>0.0</v>
      </c>
      <c r="P81" s="169">
        <f t="shared" si="5"/>
        <v>40</v>
      </c>
      <c r="Q81" s="61"/>
    </row>
    <row r="82">
      <c r="A82" s="168" t="s">
        <v>92</v>
      </c>
      <c r="B82" s="96" t="s">
        <v>51</v>
      </c>
      <c r="C82" s="96">
        <v>8.0</v>
      </c>
      <c r="D82" s="112" t="s">
        <v>4</v>
      </c>
      <c r="E82" s="96">
        <v>0.0</v>
      </c>
      <c r="F82" s="96" t="s">
        <v>51</v>
      </c>
      <c r="G82" s="96">
        <v>8.0</v>
      </c>
      <c r="H82" s="96" t="s">
        <v>51</v>
      </c>
      <c r="I82" s="96">
        <v>8.0</v>
      </c>
      <c r="J82" s="164" t="s">
        <v>278</v>
      </c>
      <c r="K82" s="96">
        <v>8.0</v>
      </c>
      <c r="L82" s="96" t="s">
        <v>51</v>
      </c>
      <c r="M82" s="96">
        <v>8.0</v>
      </c>
      <c r="N82" s="112" t="s">
        <v>4</v>
      </c>
      <c r="O82" s="96">
        <v>0.0</v>
      </c>
      <c r="P82" s="169">
        <f t="shared" si="5"/>
        <v>40</v>
      </c>
      <c r="Q82" s="77"/>
    </row>
    <row r="83">
      <c r="A83" s="168" t="s">
        <v>76</v>
      </c>
      <c r="B83" s="96" t="s">
        <v>51</v>
      </c>
      <c r="C83" s="96">
        <v>8.0</v>
      </c>
      <c r="D83" s="112" t="s">
        <v>4</v>
      </c>
      <c r="E83" s="96">
        <v>0.0</v>
      </c>
      <c r="F83" s="112" t="s">
        <v>4</v>
      </c>
      <c r="G83" s="96">
        <v>0.0</v>
      </c>
      <c r="H83" s="96" t="s">
        <v>51</v>
      </c>
      <c r="I83" s="96">
        <v>8.0</v>
      </c>
      <c r="J83" s="164" t="s">
        <v>278</v>
      </c>
      <c r="K83" s="96">
        <v>8.0</v>
      </c>
      <c r="L83" s="172" t="s">
        <v>51</v>
      </c>
      <c r="M83" s="96">
        <v>8.0</v>
      </c>
      <c r="N83" s="96" t="s">
        <v>51</v>
      </c>
      <c r="O83" s="96">
        <v>8.0</v>
      </c>
      <c r="P83" s="169">
        <f t="shared" si="5"/>
        <v>40</v>
      </c>
      <c r="Q83" s="77"/>
    </row>
    <row r="84">
      <c r="A84" s="168" t="s">
        <v>74</v>
      </c>
      <c r="B84" s="112" t="s">
        <v>4</v>
      </c>
      <c r="C84" s="96">
        <v>0.0</v>
      </c>
      <c r="D84" s="112" t="s">
        <v>4</v>
      </c>
      <c r="E84" s="96">
        <v>0.0</v>
      </c>
      <c r="F84" s="96" t="s">
        <v>17</v>
      </c>
      <c r="G84" s="96">
        <v>8.0</v>
      </c>
      <c r="H84" s="96" t="s">
        <v>17</v>
      </c>
      <c r="I84" s="96">
        <v>8.0</v>
      </c>
      <c r="J84" s="164" t="s">
        <v>278</v>
      </c>
      <c r="K84" s="96">
        <v>8.0</v>
      </c>
      <c r="L84" s="96" t="s">
        <v>17</v>
      </c>
      <c r="M84" s="96">
        <v>8.0</v>
      </c>
      <c r="N84" s="96" t="s">
        <v>17</v>
      </c>
      <c r="O84" s="96">
        <v>8.0</v>
      </c>
      <c r="P84" s="169">
        <f t="shared" si="5"/>
        <v>40</v>
      </c>
      <c r="Q84" s="77"/>
    </row>
    <row r="85">
      <c r="A85" s="168" t="s">
        <v>84</v>
      </c>
      <c r="B85" s="112" t="s">
        <v>4</v>
      </c>
      <c r="C85" s="96">
        <v>0.0</v>
      </c>
      <c r="D85" s="96" t="s">
        <v>267</v>
      </c>
      <c r="E85" s="96">
        <v>5.0</v>
      </c>
      <c r="F85" s="96" t="s">
        <v>267</v>
      </c>
      <c r="G85" s="96">
        <v>5.0</v>
      </c>
      <c r="H85" s="96" t="s">
        <v>268</v>
      </c>
      <c r="I85" s="96">
        <v>6.0</v>
      </c>
      <c r="J85" s="164" t="s">
        <v>278</v>
      </c>
      <c r="K85" s="96">
        <v>8.0</v>
      </c>
      <c r="L85" s="96" t="s">
        <v>51</v>
      </c>
      <c r="M85" s="96">
        <v>8.0</v>
      </c>
      <c r="N85" s="96" t="s">
        <v>51</v>
      </c>
      <c r="O85" s="96">
        <v>8.0</v>
      </c>
      <c r="P85" s="169">
        <f t="shared" si="5"/>
        <v>40</v>
      </c>
      <c r="Q85" s="77"/>
    </row>
    <row r="86">
      <c r="A86" s="168" t="s">
        <v>98</v>
      </c>
      <c r="B86" s="112" t="s">
        <v>4</v>
      </c>
      <c r="C86" s="96">
        <v>0.0</v>
      </c>
      <c r="D86" s="96" t="s">
        <v>51</v>
      </c>
      <c r="E86" s="96">
        <v>8.0</v>
      </c>
      <c r="F86" s="96" t="s">
        <v>51</v>
      </c>
      <c r="G86" s="96">
        <v>8.0</v>
      </c>
      <c r="H86" s="96" t="s">
        <v>51</v>
      </c>
      <c r="I86" s="96">
        <v>8.0</v>
      </c>
      <c r="J86" s="164" t="s">
        <v>278</v>
      </c>
      <c r="K86" s="96">
        <v>8.0</v>
      </c>
      <c r="L86" s="96" t="s">
        <v>51</v>
      </c>
      <c r="M86" s="96">
        <v>8.0</v>
      </c>
      <c r="N86" s="112" t="s">
        <v>4</v>
      </c>
      <c r="O86" s="96">
        <v>0.0</v>
      </c>
      <c r="P86" s="169">
        <f t="shared" si="5"/>
        <v>40</v>
      </c>
      <c r="Q86" s="61"/>
    </row>
    <row r="87">
      <c r="A87" s="170" t="s">
        <v>80</v>
      </c>
      <c r="B87" s="90" t="s">
        <v>36</v>
      </c>
      <c r="C87" s="125">
        <v>8.0</v>
      </c>
      <c r="D87" s="112" t="s">
        <v>4</v>
      </c>
      <c r="E87" s="96">
        <v>0.0</v>
      </c>
      <c r="F87" s="112" t="s">
        <v>4</v>
      </c>
      <c r="G87" s="96">
        <v>0.0</v>
      </c>
      <c r="H87" s="90" t="s">
        <v>36</v>
      </c>
      <c r="I87" s="125">
        <v>8.0</v>
      </c>
      <c r="J87" s="164" t="s">
        <v>278</v>
      </c>
      <c r="K87" s="80">
        <v>8.0</v>
      </c>
      <c r="L87" s="80" t="s">
        <v>51</v>
      </c>
      <c r="M87" s="80">
        <v>8.0</v>
      </c>
      <c r="N87" s="80" t="s">
        <v>51</v>
      </c>
      <c r="O87" s="80">
        <v>8.0</v>
      </c>
      <c r="P87" s="169">
        <f t="shared" si="5"/>
        <v>40</v>
      </c>
      <c r="Q87" s="61"/>
    </row>
    <row r="88">
      <c r="A88" s="168" t="s">
        <v>78</v>
      </c>
      <c r="B88" s="96" t="s">
        <v>51</v>
      </c>
      <c r="C88" s="96">
        <v>8.0</v>
      </c>
      <c r="D88" s="112" t="s">
        <v>4</v>
      </c>
      <c r="E88" s="96">
        <v>0.0</v>
      </c>
      <c r="F88" s="96" t="s">
        <v>51</v>
      </c>
      <c r="G88" s="96">
        <v>8.0</v>
      </c>
      <c r="H88" s="96" t="s">
        <v>51</v>
      </c>
      <c r="I88" s="96">
        <v>8.0</v>
      </c>
      <c r="J88" s="164" t="s">
        <v>278</v>
      </c>
      <c r="K88" s="96">
        <v>8.0</v>
      </c>
      <c r="L88" s="96" t="s">
        <v>51</v>
      </c>
      <c r="M88" s="96">
        <v>8.0</v>
      </c>
      <c r="N88" s="112" t="s">
        <v>4</v>
      </c>
      <c r="O88" s="96">
        <v>0.0</v>
      </c>
      <c r="P88" s="169">
        <f t="shared" si="5"/>
        <v>40</v>
      </c>
      <c r="Q88" s="61"/>
    </row>
    <row r="89">
      <c r="A89" s="168" t="s">
        <v>94</v>
      </c>
      <c r="B89" s="96" t="s">
        <v>36</v>
      </c>
      <c r="C89" s="96">
        <v>8.0</v>
      </c>
      <c r="D89" s="112" t="s">
        <v>4</v>
      </c>
      <c r="E89" s="96">
        <v>0.0</v>
      </c>
      <c r="F89" s="96" t="s">
        <v>36</v>
      </c>
      <c r="G89" s="96">
        <v>8.0</v>
      </c>
      <c r="H89" s="96" t="s">
        <v>36</v>
      </c>
      <c r="I89" s="96">
        <v>8.0</v>
      </c>
      <c r="J89" s="164" t="s">
        <v>278</v>
      </c>
      <c r="K89" s="96">
        <v>8.0</v>
      </c>
      <c r="L89" s="96" t="s">
        <v>36</v>
      </c>
      <c r="M89" s="96">
        <v>8.0</v>
      </c>
      <c r="N89" s="112" t="s">
        <v>4</v>
      </c>
      <c r="O89" s="96">
        <v>0.0</v>
      </c>
      <c r="P89" s="169">
        <f t="shared" si="5"/>
        <v>40</v>
      </c>
      <c r="Q89" s="61"/>
    </row>
    <row r="90">
      <c r="A90" s="168" t="s">
        <v>86</v>
      </c>
      <c r="B90" s="112" t="s">
        <v>4</v>
      </c>
      <c r="C90" s="96">
        <v>0.0</v>
      </c>
      <c r="D90" s="112" t="s">
        <v>4</v>
      </c>
      <c r="E90" s="96">
        <v>0.0</v>
      </c>
      <c r="F90" s="96" t="s">
        <v>17</v>
      </c>
      <c r="G90" s="96">
        <v>8.0</v>
      </c>
      <c r="H90" s="96" t="s">
        <v>17</v>
      </c>
      <c r="I90" s="96">
        <v>8.0</v>
      </c>
      <c r="J90" s="164" t="s">
        <v>278</v>
      </c>
      <c r="K90" s="96">
        <v>8.0</v>
      </c>
      <c r="L90" s="172" t="s">
        <v>17</v>
      </c>
      <c r="M90" s="96">
        <v>8.0</v>
      </c>
      <c r="N90" s="96" t="s">
        <v>17</v>
      </c>
      <c r="O90" s="96">
        <v>8.0</v>
      </c>
      <c r="P90" s="169">
        <f t="shared" si="5"/>
        <v>40</v>
      </c>
      <c r="Q90" s="61"/>
    </row>
  </sheetData>
  <conditionalFormatting sqref="P4:P18 P22:P36 P40:P54 P58:P72 P76:P90">
    <cfRule type="cellIs" dxfId="3" priority="1" operator="greaterThan">
      <formula>40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6.71"/>
    <col customWidth="1" min="13" max="13" width="24.43"/>
  </cols>
  <sheetData>
    <row r="1">
      <c r="A1" s="173">
        <v>45992.0</v>
      </c>
      <c r="F1" s="174"/>
      <c r="G1" s="174"/>
      <c r="H1" s="175"/>
      <c r="I1" s="175"/>
      <c r="J1" s="176"/>
      <c r="K1" s="176"/>
      <c r="L1" s="176"/>
      <c r="M1" s="176"/>
      <c r="N1" s="177"/>
      <c r="O1" s="177"/>
      <c r="P1" s="178"/>
      <c r="Q1" s="178"/>
      <c r="R1" s="178"/>
    </row>
    <row r="2">
      <c r="A2" s="179" t="s">
        <v>300</v>
      </c>
      <c r="B2" s="180" t="s">
        <v>100</v>
      </c>
      <c r="C2" s="181"/>
      <c r="D2" s="180" t="s">
        <v>101</v>
      </c>
      <c r="E2" s="181"/>
      <c r="F2" s="180" t="s">
        <v>301</v>
      </c>
      <c r="G2" s="181"/>
      <c r="H2" s="180" t="s">
        <v>103</v>
      </c>
      <c r="I2" s="181"/>
      <c r="J2" s="180" t="s">
        <v>104</v>
      </c>
      <c r="K2" s="181"/>
      <c r="L2" s="182" t="s">
        <v>302</v>
      </c>
      <c r="M2" s="181"/>
      <c r="N2" s="183" t="s">
        <v>106</v>
      </c>
      <c r="O2" s="181"/>
      <c r="P2" s="184"/>
      <c r="Q2" s="184"/>
      <c r="R2" s="184"/>
    </row>
    <row r="3">
      <c r="A3" s="185">
        <v>49.0</v>
      </c>
      <c r="B3" s="186">
        <v>1.0</v>
      </c>
      <c r="C3" s="187"/>
      <c r="D3" s="186">
        <v>2.0</v>
      </c>
      <c r="E3" s="187"/>
      <c r="F3" s="186">
        <v>3.0</v>
      </c>
      <c r="G3" s="187"/>
      <c r="H3" s="186">
        <v>4.0</v>
      </c>
      <c r="I3" s="187"/>
      <c r="J3" s="186">
        <v>5.0</v>
      </c>
      <c r="K3" s="187"/>
      <c r="L3" s="188">
        <v>6.0</v>
      </c>
      <c r="M3" s="189" t="s">
        <v>303</v>
      </c>
      <c r="N3" s="190">
        <v>7.0</v>
      </c>
      <c r="O3" s="187"/>
      <c r="P3" s="184"/>
      <c r="Q3" s="184"/>
      <c r="R3" s="184"/>
    </row>
    <row r="4" ht="71.25" customHeight="1">
      <c r="A4" s="191"/>
      <c r="B4" s="192">
        <v>13.0</v>
      </c>
      <c r="C4" s="181"/>
      <c r="D4" s="192">
        <v>6.0</v>
      </c>
      <c r="E4" s="181"/>
      <c r="F4" s="192">
        <v>3.0</v>
      </c>
      <c r="G4" s="181"/>
      <c r="H4" s="192">
        <v>9.0</v>
      </c>
      <c r="I4" s="181"/>
      <c r="J4" s="192">
        <v>13.0</v>
      </c>
      <c r="K4" s="181"/>
      <c r="L4" s="192">
        <v>7.0</v>
      </c>
      <c r="M4" s="181"/>
      <c r="N4" s="192">
        <v>1.0</v>
      </c>
      <c r="O4" s="181"/>
      <c r="P4" s="184"/>
      <c r="Q4" s="184"/>
      <c r="R4" s="184"/>
    </row>
    <row r="5">
      <c r="A5" s="185">
        <v>50.0</v>
      </c>
      <c r="B5" s="188">
        <v>8.0</v>
      </c>
      <c r="C5" s="189" t="s">
        <v>304</v>
      </c>
      <c r="D5" s="186">
        <v>9.0</v>
      </c>
      <c r="E5" s="187"/>
      <c r="F5" s="186">
        <v>10.0</v>
      </c>
      <c r="G5" s="187"/>
      <c r="H5" s="186">
        <v>11.0</v>
      </c>
      <c r="I5" s="187"/>
      <c r="J5" s="186">
        <v>12.0</v>
      </c>
      <c r="K5" s="187"/>
      <c r="L5" s="193">
        <v>13.0</v>
      </c>
      <c r="M5" s="187"/>
      <c r="N5" s="190">
        <v>14.0</v>
      </c>
      <c r="O5" s="187"/>
      <c r="P5" s="184"/>
      <c r="Q5" s="184"/>
      <c r="R5" s="184"/>
    </row>
    <row r="6" ht="71.25" customHeight="1">
      <c r="A6" s="191"/>
      <c r="B6" s="192">
        <v>3.0</v>
      </c>
      <c r="C6" s="181"/>
      <c r="D6" s="192">
        <v>7.0</v>
      </c>
      <c r="E6" s="181"/>
      <c r="F6" s="192">
        <v>7.0</v>
      </c>
      <c r="G6" s="181"/>
      <c r="H6" s="192">
        <v>8.0</v>
      </c>
      <c r="I6" s="181"/>
      <c r="J6" s="192">
        <v>13.0</v>
      </c>
      <c r="K6" s="181"/>
      <c r="L6" s="192">
        <v>13.0</v>
      </c>
      <c r="M6" s="181"/>
      <c r="N6" s="192">
        <v>8.0</v>
      </c>
      <c r="O6" s="181"/>
      <c r="P6" s="184"/>
      <c r="Q6" s="184"/>
      <c r="R6" s="184"/>
    </row>
    <row r="7">
      <c r="A7" s="185">
        <v>51.0</v>
      </c>
      <c r="B7" s="186">
        <v>15.0</v>
      </c>
      <c r="C7" s="187"/>
      <c r="D7" s="186">
        <v>16.0</v>
      </c>
      <c r="E7" s="187"/>
      <c r="F7" s="186">
        <v>17.0</v>
      </c>
      <c r="G7" s="187"/>
      <c r="H7" s="186">
        <v>18.0</v>
      </c>
      <c r="I7" s="187"/>
      <c r="J7" s="186">
        <v>19.0</v>
      </c>
      <c r="K7" s="187"/>
      <c r="L7" s="193">
        <v>20.0</v>
      </c>
      <c r="M7" s="187"/>
      <c r="N7" s="190">
        <v>21.0</v>
      </c>
      <c r="O7" s="187"/>
      <c r="P7" s="184"/>
      <c r="Q7" s="184"/>
      <c r="R7" s="184"/>
    </row>
    <row r="8" ht="71.25" customHeight="1">
      <c r="A8" s="191"/>
      <c r="B8" s="194">
        <v>7.0</v>
      </c>
      <c r="C8" s="181"/>
      <c r="D8" s="194">
        <v>8.0</v>
      </c>
      <c r="E8" s="181"/>
      <c r="F8" s="194">
        <v>6.0</v>
      </c>
      <c r="G8" s="181"/>
      <c r="H8" s="194">
        <v>8.0</v>
      </c>
      <c r="I8" s="181"/>
      <c r="J8" s="194">
        <v>14.0</v>
      </c>
      <c r="K8" s="181"/>
      <c r="L8" s="194">
        <v>14.0</v>
      </c>
      <c r="M8" s="181"/>
      <c r="N8" s="194">
        <v>10.0</v>
      </c>
      <c r="O8" s="181"/>
      <c r="P8" s="184"/>
      <c r="Q8" s="184"/>
      <c r="R8" s="184"/>
    </row>
    <row r="9">
      <c r="A9" s="185">
        <v>52.0</v>
      </c>
      <c r="B9" s="186">
        <v>22.0</v>
      </c>
      <c r="C9" s="187"/>
      <c r="D9" s="186">
        <v>23.0</v>
      </c>
      <c r="E9" s="187"/>
      <c r="F9" s="186">
        <v>24.0</v>
      </c>
      <c r="G9" s="195" t="s">
        <v>305</v>
      </c>
      <c r="H9" s="188">
        <v>25.0</v>
      </c>
      <c r="I9" s="189" t="s">
        <v>306</v>
      </c>
      <c r="J9" s="186">
        <v>26.0</v>
      </c>
      <c r="K9" s="187"/>
      <c r="L9" s="193">
        <v>27.0</v>
      </c>
      <c r="M9" s="187"/>
      <c r="N9" s="190">
        <v>28.0</v>
      </c>
      <c r="O9" s="187"/>
      <c r="P9" s="184"/>
      <c r="Q9" s="184"/>
      <c r="R9" s="184"/>
    </row>
    <row r="10" ht="71.25" customHeight="1">
      <c r="A10" s="191"/>
      <c r="B10" s="194">
        <v>13.0</v>
      </c>
      <c r="C10" s="181"/>
      <c r="D10" s="194">
        <v>12.0</v>
      </c>
      <c r="E10" s="181"/>
      <c r="F10" s="194">
        <v>9.0</v>
      </c>
      <c r="G10" s="181"/>
      <c r="H10" s="196"/>
      <c r="I10" s="181"/>
      <c r="J10" s="194">
        <v>14.0</v>
      </c>
      <c r="K10" s="181"/>
      <c r="L10" s="194">
        <v>14.0</v>
      </c>
      <c r="M10" s="181"/>
      <c r="N10" s="194">
        <v>9.0</v>
      </c>
      <c r="O10" s="181"/>
      <c r="P10" s="184"/>
      <c r="Q10" s="184"/>
      <c r="R10" s="184"/>
    </row>
    <row r="11">
      <c r="A11" s="185">
        <v>1.0</v>
      </c>
      <c r="B11" s="186">
        <v>29.0</v>
      </c>
      <c r="C11" s="187"/>
      <c r="D11" s="186">
        <v>30.0</v>
      </c>
      <c r="E11" s="187"/>
      <c r="F11" s="186">
        <v>31.0</v>
      </c>
      <c r="G11" s="195" t="s">
        <v>307</v>
      </c>
      <c r="H11" s="197">
        <v>1.0</v>
      </c>
      <c r="I11" s="195" t="s">
        <v>308</v>
      </c>
      <c r="J11" s="197">
        <v>2.0</v>
      </c>
      <c r="K11" s="187"/>
      <c r="L11" s="197">
        <v>3.0</v>
      </c>
      <c r="M11" s="187"/>
      <c r="N11" s="197">
        <v>4.0</v>
      </c>
      <c r="O11" s="187"/>
      <c r="P11" s="184"/>
      <c r="Q11" s="184"/>
      <c r="R11" s="184"/>
    </row>
    <row r="12" ht="71.25" customHeight="1">
      <c r="A12" s="191"/>
      <c r="B12" s="194">
        <v>12.0</v>
      </c>
      <c r="C12" s="181"/>
      <c r="D12" s="194">
        <v>13.0</v>
      </c>
      <c r="E12" s="181"/>
      <c r="F12" s="194">
        <v>7.0</v>
      </c>
      <c r="G12" s="181"/>
      <c r="H12" s="196"/>
      <c r="I12" s="181"/>
      <c r="J12" s="194">
        <v>13.0</v>
      </c>
      <c r="K12" s="181"/>
      <c r="L12" s="194">
        <v>13.0</v>
      </c>
      <c r="M12" s="181"/>
      <c r="N12" s="194">
        <v>7.0</v>
      </c>
      <c r="O12" s="181"/>
      <c r="P12" s="184"/>
      <c r="Q12" s="184"/>
      <c r="R12" s="184"/>
    </row>
    <row r="15">
      <c r="A15" s="173">
        <v>46023.0</v>
      </c>
      <c r="D15" s="174"/>
      <c r="E15" s="174"/>
      <c r="F15" s="174"/>
      <c r="G15" s="174"/>
      <c r="H15" s="175"/>
      <c r="I15" s="175"/>
      <c r="J15" s="176"/>
      <c r="K15" s="176"/>
      <c r="L15" s="176"/>
      <c r="M15" s="176"/>
      <c r="N15" s="177"/>
      <c r="O15" s="177"/>
    </row>
    <row r="16">
      <c r="A16" s="179" t="s">
        <v>300</v>
      </c>
      <c r="B16" s="180" t="s">
        <v>100</v>
      </c>
      <c r="C16" s="181"/>
      <c r="D16" s="180" t="s">
        <v>101</v>
      </c>
      <c r="E16" s="181"/>
      <c r="F16" s="180" t="s">
        <v>301</v>
      </c>
      <c r="G16" s="181"/>
      <c r="H16" s="180" t="s">
        <v>103</v>
      </c>
      <c r="I16" s="181"/>
      <c r="J16" s="180" t="s">
        <v>104</v>
      </c>
      <c r="K16" s="181"/>
      <c r="L16" s="182" t="s">
        <v>302</v>
      </c>
      <c r="M16" s="181"/>
      <c r="N16" s="183" t="s">
        <v>106</v>
      </c>
      <c r="O16" s="181"/>
    </row>
    <row r="17">
      <c r="A17" s="185">
        <v>1.0</v>
      </c>
      <c r="B17" s="197">
        <v>29.0</v>
      </c>
      <c r="C17" s="187"/>
      <c r="D17" s="197">
        <v>30.0</v>
      </c>
      <c r="E17" s="187"/>
      <c r="F17" s="197">
        <v>31.0</v>
      </c>
      <c r="G17" s="195" t="s">
        <v>307</v>
      </c>
      <c r="H17" s="188">
        <v>1.0</v>
      </c>
      <c r="I17" s="189" t="s">
        <v>308</v>
      </c>
      <c r="J17" s="186">
        <v>2.0</v>
      </c>
      <c r="K17" s="187"/>
      <c r="L17" s="193">
        <v>3.0</v>
      </c>
      <c r="M17" s="187"/>
      <c r="N17" s="190">
        <v>4.0</v>
      </c>
      <c r="O17" s="187"/>
    </row>
    <row r="18" ht="71.25" customHeight="1">
      <c r="A18" s="191"/>
      <c r="B18" s="194">
        <v>12.0</v>
      </c>
      <c r="C18" s="181"/>
      <c r="D18" s="194">
        <v>13.0</v>
      </c>
      <c r="E18" s="181"/>
      <c r="F18" s="194">
        <v>7.0</v>
      </c>
      <c r="G18" s="181"/>
      <c r="H18" s="196"/>
      <c r="I18" s="181"/>
      <c r="J18" s="194">
        <v>13.0</v>
      </c>
      <c r="K18" s="181"/>
      <c r="L18" s="194">
        <v>13.0</v>
      </c>
      <c r="M18" s="181"/>
      <c r="N18" s="194">
        <v>7.0</v>
      </c>
      <c r="O18" s="181"/>
    </row>
    <row r="19">
      <c r="A19" s="185">
        <v>2.0</v>
      </c>
      <c r="B19" s="186">
        <v>5.0</v>
      </c>
      <c r="C19" s="187"/>
      <c r="D19" s="188">
        <v>6.0</v>
      </c>
      <c r="E19" s="189" t="s">
        <v>309</v>
      </c>
      <c r="F19" s="186">
        <v>7.0</v>
      </c>
      <c r="G19" s="187"/>
      <c r="H19" s="186">
        <v>8.0</v>
      </c>
      <c r="I19" s="187"/>
      <c r="J19" s="186">
        <v>9.0</v>
      </c>
      <c r="K19" s="187"/>
      <c r="L19" s="193">
        <v>10.0</v>
      </c>
      <c r="M19" s="187"/>
      <c r="N19" s="190">
        <v>11.0</v>
      </c>
      <c r="O19" s="187"/>
    </row>
    <row r="20" ht="71.25" customHeight="1">
      <c r="A20" s="191"/>
      <c r="B20" s="194">
        <v>13.0</v>
      </c>
      <c r="C20" s="181"/>
      <c r="D20" s="198"/>
      <c r="E20" s="181"/>
      <c r="F20" s="194">
        <v>9.0</v>
      </c>
      <c r="G20" s="181"/>
      <c r="H20" s="199">
        <v>10.0</v>
      </c>
      <c r="I20" s="181"/>
      <c r="J20" s="194">
        <v>15.0</v>
      </c>
      <c r="K20" s="181"/>
      <c r="L20" s="194">
        <v>15.0</v>
      </c>
      <c r="M20" s="181"/>
      <c r="N20" s="194">
        <v>6.0</v>
      </c>
      <c r="O20" s="181"/>
    </row>
    <row r="21">
      <c r="A21" s="185">
        <v>3.0</v>
      </c>
      <c r="B21" s="186">
        <v>12.0</v>
      </c>
      <c r="C21" s="187"/>
      <c r="D21" s="186">
        <v>13.0</v>
      </c>
      <c r="E21" s="187"/>
      <c r="F21" s="186">
        <v>14.0</v>
      </c>
      <c r="G21" s="187"/>
      <c r="H21" s="186">
        <v>15.0</v>
      </c>
      <c r="I21" s="187"/>
      <c r="J21" s="186">
        <v>16.0</v>
      </c>
      <c r="K21" s="187"/>
      <c r="L21" s="193">
        <v>17.0</v>
      </c>
      <c r="M21" s="187"/>
      <c r="N21" s="190">
        <v>18.0</v>
      </c>
      <c r="O21" s="187"/>
    </row>
    <row r="22" ht="71.25" customHeight="1">
      <c r="A22" s="191"/>
      <c r="B22" s="194">
        <v>7.0</v>
      </c>
      <c r="C22" s="181"/>
      <c r="D22" s="194">
        <v>11.0</v>
      </c>
      <c r="E22" s="181"/>
      <c r="F22" s="194">
        <v>11.0</v>
      </c>
      <c r="G22" s="181"/>
      <c r="H22" s="194">
        <v>14.0</v>
      </c>
      <c r="I22" s="181"/>
      <c r="J22" s="194">
        <v>15.0</v>
      </c>
      <c r="K22" s="181"/>
      <c r="L22" s="194">
        <v>15.0</v>
      </c>
      <c r="M22" s="181"/>
      <c r="N22" s="194">
        <v>2.0</v>
      </c>
      <c r="O22" s="181"/>
    </row>
    <row r="23">
      <c r="A23" s="185">
        <v>4.0</v>
      </c>
      <c r="B23" s="186">
        <v>19.0</v>
      </c>
      <c r="C23" s="187"/>
      <c r="D23" s="186">
        <v>20.0</v>
      </c>
      <c r="E23" s="187"/>
      <c r="F23" s="186">
        <v>21.0</v>
      </c>
      <c r="G23" s="187"/>
      <c r="H23" s="186">
        <v>22.0</v>
      </c>
      <c r="I23" s="187"/>
      <c r="J23" s="186">
        <v>23.0</v>
      </c>
      <c r="K23" s="195" t="s">
        <v>310</v>
      </c>
      <c r="L23" s="193">
        <v>24.0</v>
      </c>
      <c r="M23" s="187"/>
      <c r="N23" s="190">
        <v>25.0</v>
      </c>
      <c r="O23" s="187"/>
    </row>
    <row r="24" ht="71.25" customHeight="1">
      <c r="A24" s="191"/>
      <c r="B24" s="194">
        <v>7.0</v>
      </c>
      <c r="C24" s="181"/>
      <c r="D24" s="194">
        <v>11.0</v>
      </c>
      <c r="E24" s="181"/>
      <c r="F24" s="194">
        <v>11.0</v>
      </c>
      <c r="G24" s="181"/>
      <c r="H24" s="194">
        <v>13.0</v>
      </c>
      <c r="I24" s="181"/>
      <c r="J24" s="194">
        <v>14.0</v>
      </c>
      <c r="K24" s="181"/>
      <c r="L24" s="194">
        <v>15.0</v>
      </c>
      <c r="M24" s="181"/>
      <c r="N24" s="194">
        <v>2.0</v>
      </c>
      <c r="O24" s="181"/>
    </row>
    <row r="25">
      <c r="A25" s="185">
        <v>5.0</v>
      </c>
      <c r="B25" s="200">
        <v>26.0</v>
      </c>
      <c r="C25" s="187"/>
      <c r="D25" s="186">
        <v>27.0</v>
      </c>
      <c r="E25" s="187"/>
      <c r="F25" s="186">
        <v>28.0</v>
      </c>
      <c r="G25" s="187"/>
      <c r="H25" s="186">
        <v>29.0</v>
      </c>
      <c r="I25" s="195" t="s">
        <v>311</v>
      </c>
      <c r="J25" s="186">
        <v>30.0</v>
      </c>
      <c r="K25" s="187"/>
      <c r="L25" s="193">
        <v>31.0</v>
      </c>
      <c r="M25" s="187"/>
      <c r="N25" s="197">
        <v>1.0</v>
      </c>
      <c r="O25" s="187"/>
    </row>
    <row r="26" ht="71.25" customHeight="1">
      <c r="A26" s="191"/>
      <c r="B26" s="194">
        <v>7.0</v>
      </c>
      <c r="C26" s="181"/>
      <c r="D26" s="194">
        <v>11.0</v>
      </c>
      <c r="E26" s="181"/>
      <c r="F26" s="194">
        <v>11.0</v>
      </c>
      <c r="G26" s="181"/>
      <c r="H26" s="194">
        <v>13.0</v>
      </c>
      <c r="I26" s="181"/>
      <c r="J26" s="194">
        <v>15.0</v>
      </c>
      <c r="K26" s="181"/>
      <c r="L26" s="194">
        <v>15.0</v>
      </c>
      <c r="M26" s="181"/>
      <c r="N26" s="194">
        <v>2.0</v>
      </c>
      <c r="O26" s="181"/>
    </row>
    <row r="28">
      <c r="A28" s="173">
        <v>46054.0</v>
      </c>
      <c r="E28" s="174"/>
      <c r="F28" s="174"/>
      <c r="G28" s="174"/>
      <c r="H28" s="201"/>
      <c r="I28" s="201"/>
      <c r="J28" s="202"/>
      <c r="K28" s="202"/>
      <c r="L28" s="202"/>
      <c r="M28" s="202"/>
      <c r="N28" s="177"/>
      <c r="O28" s="177"/>
    </row>
    <row r="29">
      <c r="A29" s="179" t="s">
        <v>300</v>
      </c>
      <c r="B29" s="180" t="s">
        <v>100</v>
      </c>
      <c r="C29" s="181"/>
      <c r="D29" s="180" t="s">
        <v>101</v>
      </c>
      <c r="E29" s="181"/>
      <c r="F29" s="180" t="s">
        <v>301</v>
      </c>
      <c r="G29" s="181"/>
      <c r="H29" s="180" t="s">
        <v>103</v>
      </c>
      <c r="I29" s="181"/>
      <c r="J29" s="180" t="s">
        <v>104</v>
      </c>
      <c r="K29" s="181"/>
      <c r="L29" s="182" t="s">
        <v>302</v>
      </c>
      <c r="M29" s="181"/>
      <c r="N29" s="183" t="s">
        <v>106</v>
      </c>
      <c r="O29" s="181"/>
    </row>
    <row r="30">
      <c r="A30" s="185">
        <v>5.0</v>
      </c>
      <c r="B30" s="197">
        <v>26.0</v>
      </c>
      <c r="C30" s="187"/>
      <c r="D30" s="197">
        <v>27.0</v>
      </c>
      <c r="E30" s="187"/>
      <c r="F30" s="197">
        <v>28.0</v>
      </c>
      <c r="G30" s="187"/>
      <c r="H30" s="197">
        <v>29.0</v>
      </c>
      <c r="I30" s="187"/>
      <c r="J30" s="197">
        <v>30.0</v>
      </c>
      <c r="K30" s="187"/>
      <c r="L30" s="197">
        <v>31.0</v>
      </c>
      <c r="M30" s="187"/>
      <c r="N30" s="190">
        <v>1.0</v>
      </c>
      <c r="O30" s="187"/>
    </row>
    <row r="31">
      <c r="A31" s="191"/>
      <c r="B31" s="203"/>
      <c r="C31" s="181"/>
      <c r="D31" s="203"/>
      <c r="E31" s="181"/>
      <c r="F31" s="203"/>
      <c r="G31" s="181"/>
      <c r="H31" s="203"/>
      <c r="I31" s="181"/>
      <c r="J31" s="203"/>
      <c r="K31" s="181"/>
      <c r="L31" s="203"/>
      <c r="M31" s="181"/>
      <c r="N31" s="194">
        <v>2.0</v>
      </c>
      <c r="O31" s="181"/>
    </row>
    <row r="32">
      <c r="A32" s="185">
        <v>6.0</v>
      </c>
      <c r="B32" s="186">
        <v>2.0</v>
      </c>
      <c r="C32" s="187"/>
      <c r="D32" s="186">
        <v>3.0</v>
      </c>
      <c r="E32" s="187"/>
      <c r="F32" s="186">
        <v>4.0</v>
      </c>
      <c r="G32" s="187"/>
      <c r="H32" s="186">
        <v>5.0</v>
      </c>
      <c r="I32" s="187"/>
      <c r="J32" s="186">
        <v>6.0</v>
      </c>
      <c r="K32" s="187"/>
      <c r="L32" s="193">
        <v>7.0</v>
      </c>
      <c r="M32" s="187"/>
      <c r="N32" s="190">
        <v>8.0</v>
      </c>
      <c r="O32" s="187"/>
    </row>
    <row r="33">
      <c r="A33" s="191"/>
      <c r="B33" s="194">
        <v>8.0</v>
      </c>
      <c r="C33" s="181"/>
      <c r="D33" s="194">
        <v>10.0</v>
      </c>
      <c r="E33" s="181"/>
      <c r="F33" s="194">
        <v>7.0</v>
      </c>
      <c r="G33" s="181"/>
      <c r="H33" s="194">
        <v>12.0</v>
      </c>
      <c r="I33" s="181"/>
      <c r="J33" s="194">
        <v>14.0</v>
      </c>
      <c r="K33" s="181"/>
      <c r="L33" s="194">
        <v>14.0</v>
      </c>
      <c r="M33" s="181"/>
      <c r="N33" s="194">
        <v>2.0</v>
      </c>
      <c r="O33" s="181"/>
    </row>
    <row r="34">
      <c r="A34" s="185">
        <v>7.0</v>
      </c>
      <c r="B34" s="186">
        <v>9.0</v>
      </c>
      <c r="C34" s="187"/>
      <c r="D34" s="186">
        <v>10.0</v>
      </c>
      <c r="E34" s="187"/>
      <c r="F34" s="186">
        <v>11.0</v>
      </c>
      <c r="G34" s="187"/>
      <c r="H34" s="186">
        <v>12.0</v>
      </c>
      <c r="I34" s="187"/>
      <c r="J34" s="186">
        <v>13.0</v>
      </c>
      <c r="K34" s="187"/>
      <c r="L34" s="193">
        <v>14.0</v>
      </c>
      <c r="M34" s="187"/>
      <c r="N34" s="190">
        <v>15.0</v>
      </c>
      <c r="O34" s="187"/>
    </row>
    <row r="35">
      <c r="A35" s="191"/>
      <c r="B35" s="194">
        <v>10.0</v>
      </c>
      <c r="C35" s="181"/>
      <c r="D35" s="194">
        <v>9.0</v>
      </c>
      <c r="E35" s="181"/>
      <c r="F35" s="194">
        <v>11.0</v>
      </c>
      <c r="G35" s="181"/>
      <c r="H35" s="194">
        <v>14.0</v>
      </c>
      <c r="I35" s="181"/>
      <c r="J35" s="194">
        <v>15.0</v>
      </c>
      <c r="K35" s="181"/>
      <c r="L35" s="194">
        <v>15.0</v>
      </c>
      <c r="M35" s="181"/>
      <c r="N35" s="194">
        <v>2.0</v>
      </c>
      <c r="O35" s="181"/>
    </row>
    <row r="36">
      <c r="A36" s="185">
        <v>8.0</v>
      </c>
      <c r="B36" s="186">
        <v>16.0</v>
      </c>
      <c r="C36" s="187"/>
      <c r="D36" s="186">
        <v>17.0</v>
      </c>
      <c r="E36" s="187"/>
      <c r="F36" s="186">
        <v>18.0</v>
      </c>
      <c r="G36" s="187"/>
      <c r="H36" s="186">
        <v>19.0</v>
      </c>
      <c r="I36" s="187"/>
      <c r="J36" s="186">
        <v>20.0</v>
      </c>
      <c r="K36" s="187"/>
      <c r="L36" s="193">
        <v>21.0</v>
      </c>
      <c r="M36" s="187"/>
      <c r="N36" s="190">
        <v>22.0</v>
      </c>
      <c r="O36" s="187"/>
    </row>
    <row r="37">
      <c r="A37" s="191"/>
      <c r="B37" s="194">
        <v>10.0</v>
      </c>
      <c r="C37" s="181"/>
      <c r="D37" s="194">
        <v>9.0</v>
      </c>
      <c r="E37" s="181"/>
      <c r="F37" s="194">
        <v>10.0</v>
      </c>
      <c r="G37" s="181"/>
      <c r="H37" s="194">
        <v>13.0</v>
      </c>
      <c r="I37" s="181"/>
      <c r="J37" s="194">
        <v>14.0</v>
      </c>
      <c r="K37" s="181"/>
      <c r="L37" s="194">
        <v>14.0</v>
      </c>
      <c r="M37" s="181"/>
      <c r="N37" s="194">
        <v>2.0</v>
      </c>
      <c r="O37" s="181"/>
    </row>
    <row r="38">
      <c r="A38" s="185">
        <v>9.0</v>
      </c>
      <c r="B38" s="186">
        <v>23.0</v>
      </c>
      <c r="C38" s="187"/>
      <c r="D38" s="186">
        <v>24.0</v>
      </c>
      <c r="E38" s="187"/>
      <c r="F38" s="186">
        <v>25.0</v>
      </c>
      <c r="G38" s="187"/>
      <c r="H38" s="200">
        <v>26.0</v>
      </c>
      <c r="I38" s="187"/>
      <c r="J38" s="186">
        <v>27.0</v>
      </c>
      <c r="K38" s="187"/>
      <c r="L38" s="193">
        <v>28.0</v>
      </c>
      <c r="M38" s="204" t="s">
        <v>312</v>
      </c>
      <c r="N38" s="197">
        <v>1.0</v>
      </c>
      <c r="O38" s="187"/>
    </row>
    <row r="39">
      <c r="A39" s="191"/>
      <c r="B39" s="194">
        <v>8.0</v>
      </c>
      <c r="C39" s="181"/>
      <c r="D39" s="194">
        <v>10.0</v>
      </c>
      <c r="E39" s="181"/>
      <c r="F39" s="194">
        <v>10.0</v>
      </c>
      <c r="G39" s="181"/>
      <c r="H39" s="194">
        <v>15.0</v>
      </c>
      <c r="I39" s="181"/>
      <c r="J39" s="194">
        <v>14.0</v>
      </c>
      <c r="K39" s="181"/>
      <c r="L39" s="194">
        <v>10.0</v>
      </c>
      <c r="M39" s="181"/>
      <c r="N39" s="194">
        <v>2.0</v>
      </c>
      <c r="O39" s="181"/>
    </row>
  </sheetData>
  <mergeCells count="144">
    <mergeCell ref="A1:E1"/>
    <mergeCell ref="D2:E2"/>
    <mergeCell ref="F2:G2"/>
    <mergeCell ref="H2:I2"/>
    <mergeCell ref="J2:K2"/>
    <mergeCell ref="L2:M2"/>
    <mergeCell ref="N2:O2"/>
    <mergeCell ref="L4:M4"/>
    <mergeCell ref="N4:O4"/>
    <mergeCell ref="B2:C2"/>
    <mergeCell ref="A3:A4"/>
    <mergeCell ref="B4:C4"/>
    <mergeCell ref="D4:E4"/>
    <mergeCell ref="F4:G4"/>
    <mergeCell ref="H4:I4"/>
    <mergeCell ref="J4:K4"/>
    <mergeCell ref="B6:C6"/>
    <mergeCell ref="D6:E6"/>
    <mergeCell ref="F6:G6"/>
    <mergeCell ref="H6:I6"/>
    <mergeCell ref="J6:K6"/>
    <mergeCell ref="L6:M6"/>
    <mergeCell ref="N6:O6"/>
    <mergeCell ref="L8:M8"/>
    <mergeCell ref="N8:O8"/>
    <mergeCell ref="B10:C10"/>
    <mergeCell ref="D10:E10"/>
    <mergeCell ref="F10:G10"/>
    <mergeCell ref="H10:I10"/>
    <mergeCell ref="J10:K10"/>
    <mergeCell ref="L10:M10"/>
    <mergeCell ref="N10:O10"/>
    <mergeCell ref="L12:M12"/>
    <mergeCell ref="N12:O12"/>
    <mergeCell ref="B16:C16"/>
    <mergeCell ref="A17:A18"/>
    <mergeCell ref="B18:C18"/>
    <mergeCell ref="D18:E18"/>
    <mergeCell ref="F18:G18"/>
    <mergeCell ref="H18:I18"/>
    <mergeCell ref="J18:K18"/>
    <mergeCell ref="A19:A20"/>
    <mergeCell ref="A21:A22"/>
    <mergeCell ref="B22:C22"/>
    <mergeCell ref="D22:E22"/>
    <mergeCell ref="F22:G22"/>
    <mergeCell ref="H22:I22"/>
    <mergeCell ref="J22:K22"/>
    <mergeCell ref="B24:C24"/>
    <mergeCell ref="D24:E24"/>
    <mergeCell ref="F24:G24"/>
    <mergeCell ref="H24:I24"/>
    <mergeCell ref="J24:K24"/>
    <mergeCell ref="L24:M24"/>
    <mergeCell ref="N24:O24"/>
    <mergeCell ref="A23:A24"/>
    <mergeCell ref="A25:A26"/>
    <mergeCell ref="B26:C26"/>
    <mergeCell ref="D26:E26"/>
    <mergeCell ref="F26:G26"/>
    <mergeCell ref="H26:I26"/>
    <mergeCell ref="J26:K26"/>
    <mergeCell ref="J29:K29"/>
    <mergeCell ref="L29:M29"/>
    <mergeCell ref="L26:M26"/>
    <mergeCell ref="N26:O26"/>
    <mergeCell ref="A28:D28"/>
    <mergeCell ref="D29:E29"/>
    <mergeCell ref="F29:G29"/>
    <mergeCell ref="H29:I29"/>
    <mergeCell ref="N29:O29"/>
    <mergeCell ref="L31:M31"/>
    <mergeCell ref="N31:O31"/>
    <mergeCell ref="B29:C29"/>
    <mergeCell ref="A30:A31"/>
    <mergeCell ref="B31:C31"/>
    <mergeCell ref="D31:E31"/>
    <mergeCell ref="F31:G31"/>
    <mergeCell ref="H31:I31"/>
    <mergeCell ref="J31:K31"/>
    <mergeCell ref="B33:C33"/>
    <mergeCell ref="D33:E33"/>
    <mergeCell ref="F33:G33"/>
    <mergeCell ref="H33:I33"/>
    <mergeCell ref="J33:K33"/>
    <mergeCell ref="L33:M33"/>
    <mergeCell ref="N33:O33"/>
    <mergeCell ref="A32:A33"/>
    <mergeCell ref="A34:A35"/>
    <mergeCell ref="B35:C35"/>
    <mergeCell ref="D35:E35"/>
    <mergeCell ref="F35:G35"/>
    <mergeCell ref="H35:I35"/>
    <mergeCell ref="J35:K35"/>
    <mergeCell ref="J37:K37"/>
    <mergeCell ref="L37:M37"/>
    <mergeCell ref="L35:M35"/>
    <mergeCell ref="N35:O35"/>
    <mergeCell ref="B37:C37"/>
    <mergeCell ref="D37:E37"/>
    <mergeCell ref="F37:G37"/>
    <mergeCell ref="H37:I37"/>
    <mergeCell ref="N37:O37"/>
    <mergeCell ref="A5:A6"/>
    <mergeCell ref="A7:A8"/>
    <mergeCell ref="B8:C8"/>
    <mergeCell ref="D8:E8"/>
    <mergeCell ref="F8:G8"/>
    <mergeCell ref="H8:I8"/>
    <mergeCell ref="J8:K8"/>
    <mergeCell ref="A9:A10"/>
    <mergeCell ref="A11:A12"/>
    <mergeCell ref="B12:C12"/>
    <mergeCell ref="D12:E12"/>
    <mergeCell ref="F12:G12"/>
    <mergeCell ref="H12:I12"/>
    <mergeCell ref="J12:K12"/>
    <mergeCell ref="A15:C15"/>
    <mergeCell ref="D16:E16"/>
    <mergeCell ref="F16:G16"/>
    <mergeCell ref="H16:I16"/>
    <mergeCell ref="J16:K16"/>
    <mergeCell ref="L16:M16"/>
    <mergeCell ref="N16:O16"/>
    <mergeCell ref="L18:M18"/>
    <mergeCell ref="N18:O18"/>
    <mergeCell ref="B20:C20"/>
    <mergeCell ref="D20:E20"/>
    <mergeCell ref="F20:G20"/>
    <mergeCell ref="H20:I20"/>
    <mergeCell ref="J20:K20"/>
    <mergeCell ref="L20:M20"/>
    <mergeCell ref="N20:O20"/>
    <mergeCell ref="L22:M22"/>
    <mergeCell ref="N22:O22"/>
    <mergeCell ref="L39:M39"/>
    <mergeCell ref="N39:O39"/>
    <mergeCell ref="A36:A37"/>
    <mergeCell ref="A38:A39"/>
    <mergeCell ref="B39:C39"/>
    <mergeCell ref="D39:E39"/>
    <mergeCell ref="F39:G39"/>
    <mergeCell ref="H39:I39"/>
    <mergeCell ref="J39:K39"/>
  </mergeCells>
  <hyperlinks>
    <hyperlink r:id="rId1" ref="B25"/>
    <hyperlink r:id="rId2" ref="H38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5" max="5" width="24.86"/>
    <col customWidth="1" min="7" max="7" width="24.86"/>
    <col customWidth="1" min="11" max="11" width="24.86"/>
    <col customWidth="1" min="13" max="13" width="24.86"/>
    <col customWidth="1" min="17" max="17" width="24.86"/>
  </cols>
  <sheetData>
    <row r="2">
      <c r="A2" s="100" t="s">
        <v>313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</row>
    <row r="3">
      <c r="A3" s="103" t="s">
        <v>65</v>
      </c>
      <c r="B3" s="205" t="s">
        <v>66</v>
      </c>
      <c r="C3" s="103" t="s">
        <v>67</v>
      </c>
      <c r="D3" s="206" t="s">
        <v>68</v>
      </c>
      <c r="E3" s="103" t="s">
        <v>100</v>
      </c>
      <c r="F3" s="207"/>
      <c r="G3" s="103" t="s">
        <v>101</v>
      </c>
      <c r="H3" s="207"/>
      <c r="I3" s="103" t="s">
        <v>102</v>
      </c>
      <c r="J3" s="207"/>
      <c r="K3" s="103" t="s">
        <v>103</v>
      </c>
      <c r="L3" s="207"/>
      <c r="M3" s="103" t="s">
        <v>104</v>
      </c>
      <c r="N3" s="207"/>
      <c r="O3" s="103" t="s">
        <v>105</v>
      </c>
      <c r="P3" s="207"/>
      <c r="Q3" s="103" t="s">
        <v>106</v>
      </c>
      <c r="R3" s="208"/>
      <c r="S3" s="103" t="s">
        <v>107</v>
      </c>
    </row>
    <row r="4">
      <c r="A4" s="106" t="s">
        <v>82</v>
      </c>
      <c r="B4" s="125" t="s">
        <v>314</v>
      </c>
      <c r="C4" s="125">
        <v>40.0</v>
      </c>
      <c r="D4" s="209"/>
      <c r="E4" s="90" t="s">
        <v>51</v>
      </c>
      <c r="F4" s="125">
        <v>8.0</v>
      </c>
      <c r="G4" s="90" t="s">
        <v>51</v>
      </c>
      <c r="H4" s="125">
        <v>8.0</v>
      </c>
      <c r="I4" s="126" t="s">
        <v>4</v>
      </c>
      <c r="J4" s="125">
        <v>0.0</v>
      </c>
      <c r="K4" s="90" t="s">
        <v>51</v>
      </c>
      <c r="L4" s="125">
        <v>8.0</v>
      </c>
      <c r="M4" s="90" t="s">
        <v>51</v>
      </c>
      <c r="N4" s="125">
        <v>8.0</v>
      </c>
      <c r="O4" s="90" t="s">
        <v>51</v>
      </c>
      <c r="P4" s="125">
        <v>8.0</v>
      </c>
      <c r="Q4" s="130" t="s">
        <v>4</v>
      </c>
      <c r="R4" s="125">
        <v>0.0</v>
      </c>
      <c r="S4" s="125">
        <f t="shared" ref="S4:S18" si="1">F4+H4+J4+L4+N4+P4+R4</f>
        <v>40</v>
      </c>
    </row>
    <row r="5">
      <c r="A5" s="109" t="s">
        <v>90</v>
      </c>
      <c r="B5" s="125" t="s">
        <v>315</v>
      </c>
      <c r="C5" s="125">
        <v>40.0</v>
      </c>
      <c r="D5" s="125" t="s">
        <v>108</v>
      </c>
      <c r="E5" s="130" t="s">
        <v>4</v>
      </c>
      <c r="F5" s="125">
        <v>0.0</v>
      </c>
      <c r="G5" s="80" t="s">
        <v>51</v>
      </c>
      <c r="H5" s="125">
        <v>8.0</v>
      </c>
      <c r="I5" s="80" t="s">
        <v>51</v>
      </c>
      <c r="J5" s="125">
        <v>8.0</v>
      </c>
      <c r="K5" s="80" t="s">
        <v>51</v>
      </c>
      <c r="L5" s="125">
        <v>8.0</v>
      </c>
      <c r="M5" s="80" t="s">
        <v>51</v>
      </c>
      <c r="N5" s="125">
        <v>8.0</v>
      </c>
      <c r="O5" s="80" t="s">
        <v>51</v>
      </c>
      <c r="P5" s="125">
        <v>8.0</v>
      </c>
      <c r="Q5" s="126" t="s">
        <v>4</v>
      </c>
      <c r="R5" s="125">
        <v>0.0</v>
      </c>
      <c r="S5" s="125">
        <f t="shared" si="1"/>
        <v>40</v>
      </c>
    </row>
    <row r="6">
      <c r="A6" s="109" t="s">
        <v>88</v>
      </c>
      <c r="B6" s="125" t="s">
        <v>315</v>
      </c>
      <c r="C6" s="125">
        <v>40.0</v>
      </c>
      <c r="D6" s="125" t="s">
        <v>89</v>
      </c>
      <c r="E6" s="90" t="s">
        <v>51</v>
      </c>
      <c r="F6" s="125">
        <v>8.0</v>
      </c>
      <c r="G6" s="126" t="s">
        <v>4</v>
      </c>
      <c r="H6" s="125">
        <v>0.0</v>
      </c>
      <c r="I6" s="90" t="s">
        <v>51</v>
      </c>
      <c r="J6" s="125">
        <v>8.0</v>
      </c>
      <c r="K6" s="90" t="s">
        <v>51</v>
      </c>
      <c r="L6" s="125">
        <v>8.0</v>
      </c>
      <c r="M6" s="90" t="s">
        <v>51</v>
      </c>
      <c r="N6" s="125">
        <v>8.0</v>
      </c>
      <c r="O6" s="90" t="s">
        <v>51</v>
      </c>
      <c r="P6" s="125">
        <v>8.0</v>
      </c>
      <c r="Q6" s="126" t="s">
        <v>4</v>
      </c>
      <c r="R6" s="125">
        <v>0.0</v>
      </c>
      <c r="S6" s="125">
        <f t="shared" si="1"/>
        <v>40</v>
      </c>
    </row>
    <row r="7">
      <c r="A7" s="106" t="s">
        <v>70</v>
      </c>
      <c r="B7" s="125" t="s">
        <v>316</v>
      </c>
      <c r="C7" s="108">
        <v>40.0</v>
      </c>
      <c r="D7" s="125" t="s">
        <v>71</v>
      </c>
      <c r="E7" s="210"/>
      <c r="F7" s="125">
        <v>0.0</v>
      </c>
      <c r="G7" s="80" t="s">
        <v>51</v>
      </c>
      <c r="H7" s="125">
        <v>8.0</v>
      </c>
      <c r="I7" s="80" t="s">
        <v>51</v>
      </c>
      <c r="J7" s="125">
        <v>8.0</v>
      </c>
      <c r="K7" s="80" t="s">
        <v>51</v>
      </c>
      <c r="L7" s="125">
        <v>8.0</v>
      </c>
      <c r="M7" s="80" t="s">
        <v>51</v>
      </c>
      <c r="N7" s="125">
        <v>8.0</v>
      </c>
      <c r="O7" s="80" t="s">
        <v>51</v>
      </c>
      <c r="P7" s="125">
        <v>8.0</v>
      </c>
      <c r="Q7" s="211" t="s">
        <v>4</v>
      </c>
      <c r="R7" s="108">
        <v>0.0</v>
      </c>
      <c r="S7" s="125">
        <f t="shared" si="1"/>
        <v>40</v>
      </c>
    </row>
    <row r="8">
      <c r="A8" s="106" t="s">
        <v>72</v>
      </c>
      <c r="B8" s="125" t="s">
        <v>315</v>
      </c>
      <c r="C8" s="125">
        <v>40.0</v>
      </c>
      <c r="D8" s="125" t="s">
        <v>73</v>
      </c>
      <c r="E8" s="210"/>
      <c r="F8" s="125">
        <v>0.0</v>
      </c>
      <c r="G8" s="212"/>
      <c r="H8" s="125">
        <v>0.0</v>
      </c>
      <c r="I8" s="212"/>
      <c r="J8" s="125">
        <v>0.0</v>
      </c>
      <c r="K8" s="212"/>
      <c r="L8" s="125">
        <v>0.0</v>
      </c>
      <c r="M8" s="90" t="s">
        <v>51</v>
      </c>
      <c r="N8" s="125">
        <v>8.0</v>
      </c>
      <c r="O8" s="90" t="s">
        <v>51</v>
      </c>
      <c r="P8" s="125">
        <v>8.0</v>
      </c>
      <c r="Q8" s="126" t="s">
        <v>4</v>
      </c>
      <c r="R8" s="125">
        <v>0.0</v>
      </c>
      <c r="S8" s="125">
        <f t="shared" si="1"/>
        <v>16</v>
      </c>
    </row>
    <row r="9">
      <c r="A9" s="106" t="s">
        <v>96</v>
      </c>
      <c r="B9" s="125" t="s">
        <v>317</v>
      </c>
      <c r="C9" s="213">
        <v>40.0</v>
      </c>
      <c r="D9" s="125" t="s">
        <v>97</v>
      </c>
      <c r="E9" s="214"/>
      <c r="F9" s="125">
        <v>0.0</v>
      </c>
      <c r="G9" s="214"/>
      <c r="H9" s="125">
        <v>0.0</v>
      </c>
      <c r="I9" s="126" t="s">
        <v>4</v>
      </c>
      <c r="J9" s="125">
        <v>0.0</v>
      </c>
      <c r="K9" s="80" t="s">
        <v>51</v>
      </c>
      <c r="L9" s="125">
        <v>8.0</v>
      </c>
      <c r="M9" s="80" t="s">
        <v>51</v>
      </c>
      <c r="N9" s="125">
        <v>8.0</v>
      </c>
      <c r="O9" s="80" t="s">
        <v>51</v>
      </c>
      <c r="P9" s="125">
        <v>8.0</v>
      </c>
      <c r="Q9" s="130" t="s">
        <v>4</v>
      </c>
      <c r="R9" s="125">
        <v>0.0</v>
      </c>
      <c r="S9" s="125">
        <f t="shared" si="1"/>
        <v>24</v>
      </c>
    </row>
    <row r="10">
      <c r="A10" s="106" t="s">
        <v>92</v>
      </c>
      <c r="B10" s="125" t="s">
        <v>316</v>
      </c>
      <c r="C10" s="125">
        <v>40.0</v>
      </c>
      <c r="D10" s="125" t="s">
        <v>93</v>
      </c>
      <c r="E10" s="214"/>
      <c r="F10" s="125">
        <v>0.0</v>
      </c>
      <c r="G10" s="212"/>
      <c r="H10" s="125">
        <v>0.0</v>
      </c>
      <c r="I10" s="214"/>
      <c r="J10" s="125">
        <v>0.0</v>
      </c>
      <c r="K10" s="214"/>
      <c r="L10" s="125">
        <v>0.0</v>
      </c>
      <c r="M10" s="80" t="s">
        <v>51</v>
      </c>
      <c r="N10" s="125">
        <v>8.0</v>
      </c>
      <c r="O10" s="80" t="s">
        <v>51</v>
      </c>
      <c r="P10" s="125">
        <v>8.0</v>
      </c>
      <c r="Q10" s="126" t="s">
        <v>4</v>
      </c>
      <c r="R10" s="125">
        <v>0.0</v>
      </c>
      <c r="S10" s="125">
        <f t="shared" si="1"/>
        <v>16</v>
      </c>
    </row>
    <row r="11">
      <c r="A11" s="113" t="s">
        <v>76</v>
      </c>
      <c r="B11" s="125" t="s">
        <v>317</v>
      </c>
      <c r="C11" s="125">
        <v>40.0</v>
      </c>
      <c r="D11" s="125" t="s">
        <v>77</v>
      </c>
      <c r="E11" s="215"/>
      <c r="F11" s="125">
        <v>0.0</v>
      </c>
      <c r="G11" s="215"/>
      <c r="H11" s="125">
        <v>0.0</v>
      </c>
      <c r="I11" s="80" t="s">
        <v>51</v>
      </c>
      <c r="J11" s="125">
        <v>8.0</v>
      </c>
      <c r="K11" s="80" t="s">
        <v>51</v>
      </c>
      <c r="L11" s="125">
        <v>8.0</v>
      </c>
      <c r="M11" s="80" t="s">
        <v>51</v>
      </c>
      <c r="N11" s="125">
        <v>8.0</v>
      </c>
      <c r="O11" s="80" t="s">
        <v>51</v>
      </c>
      <c r="P11" s="125">
        <v>8.0</v>
      </c>
      <c r="Q11" s="126" t="s">
        <v>4</v>
      </c>
      <c r="R11" s="125">
        <v>0.0</v>
      </c>
      <c r="S11" s="125">
        <f t="shared" si="1"/>
        <v>32</v>
      </c>
    </row>
    <row r="12">
      <c r="A12" s="106" t="s">
        <v>74</v>
      </c>
      <c r="B12" s="125" t="s">
        <v>315</v>
      </c>
      <c r="C12" s="125">
        <v>40.0</v>
      </c>
      <c r="D12" s="125" t="s">
        <v>318</v>
      </c>
      <c r="E12" s="215"/>
      <c r="F12" s="125">
        <v>0.0</v>
      </c>
      <c r="G12" s="215"/>
      <c r="H12" s="125">
        <v>0.0</v>
      </c>
      <c r="I12" s="129" t="s">
        <v>17</v>
      </c>
      <c r="J12" s="125">
        <v>8.0</v>
      </c>
      <c r="K12" s="129" t="s">
        <v>17</v>
      </c>
      <c r="L12" s="125">
        <v>8.0</v>
      </c>
      <c r="M12" s="129" t="s">
        <v>17</v>
      </c>
      <c r="N12" s="125">
        <v>8.0</v>
      </c>
      <c r="O12" s="129" t="s">
        <v>17</v>
      </c>
      <c r="P12" s="125">
        <v>8.0</v>
      </c>
      <c r="Q12" s="126" t="s">
        <v>4</v>
      </c>
      <c r="R12" s="125">
        <v>0.0</v>
      </c>
      <c r="S12" s="125">
        <f t="shared" si="1"/>
        <v>32</v>
      </c>
    </row>
    <row r="13">
      <c r="A13" s="106" t="s">
        <v>84</v>
      </c>
      <c r="B13" s="125" t="s">
        <v>317</v>
      </c>
      <c r="C13" s="125">
        <v>40.0</v>
      </c>
      <c r="D13" s="125" t="s">
        <v>85</v>
      </c>
      <c r="E13" s="80" t="s">
        <v>51</v>
      </c>
      <c r="F13" s="125">
        <v>8.0</v>
      </c>
      <c r="G13" s="80" t="s">
        <v>51</v>
      </c>
      <c r="H13" s="125">
        <v>8.0</v>
      </c>
      <c r="I13" s="126" t="s">
        <v>4</v>
      </c>
      <c r="J13" s="125">
        <v>0.0</v>
      </c>
      <c r="K13" s="80" t="s">
        <v>51</v>
      </c>
      <c r="L13" s="125">
        <v>8.0</v>
      </c>
      <c r="M13" s="80" t="s">
        <v>51</v>
      </c>
      <c r="N13" s="125">
        <v>8.0</v>
      </c>
      <c r="O13" s="80" t="s">
        <v>51</v>
      </c>
      <c r="P13" s="125">
        <v>8.0</v>
      </c>
      <c r="Q13" s="126" t="s">
        <v>4</v>
      </c>
      <c r="R13" s="125">
        <v>0.0</v>
      </c>
      <c r="S13" s="125">
        <f t="shared" si="1"/>
        <v>40</v>
      </c>
    </row>
    <row r="14">
      <c r="A14" s="106" t="s">
        <v>98</v>
      </c>
      <c r="B14" s="125" t="s">
        <v>317</v>
      </c>
      <c r="C14" s="125">
        <v>40.0</v>
      </c>
      <c r="D14" s="108" t="s">
        <v>319</v>
      </c>
      <c r="E14" s="212"/>
      <c r="F14" s="125">
        <v>0.0</v>
      </c>
      <c r="G14" s="212"/>
      <c r="H14" s="125">
        <v>0.0</v>
      </c>
      <c r="I14" s="90" t="s">
        <v>51</v>
      </c>
      <c r="J14" s="125">
        <v>8.0</v>
      </c>
      <c r="K14" s="90" t="s">
        <v>51</v>
      </c>
      <c r="L14" s="125">
        <v>8.0</v>
      </c>
      <c r="M14" s="90" t="s">
        <v>51</v>
      </c>
      <c r="N14" s="125">
        <v>8.0</v>
      </c>
      <c r="O14" s="90" t="s">
        <v>51</v>
      </c>
      <c r="P14" s="125">
        <v>8.0</v>
      </c>
      <c r="Q14" s="130" t="s">
        <v>4</v>
      </c>
      <c r="R14" s="213">
        <v>0.0</v>
      </c>
      <c r="S14" s="125">
        <f t="shared" si="1"/>
        <v>32</v>
      </c>
    </row>
    <row r="15">
      <c r="A15" s="106" t="s">
        <v>80</v>
      </c>
      <c r="B15" s="125" t="s">
        <v>315</v>
      </c>
      <c r="C15" s="125">
        <v>40.0</v>
      </c>
      <c r="D15" s="125" t="s">
        <v>81</v>
      </c>
      <c r="E15" s="215"/>
      <c r="F15" s="125">
        <v>0.0</v>
      </c>
      <c r="G15" s="215"/>
      <c r="H15" s="125">
        <v>0.0</v>
      </c>
      <c r="I15" s="215"/>
      <c r="J15" s="125">
        <v>0.0</v>
      </c>
      <c r="K15" s="215"/>
      <c r="L15" s="125">
        <v>0.0</v>
      </c>
      <c r="M15" s="90" t="s">
        <v>11</v>
      </c>
      <c r="N15" s="125">
        <v>8.0</v>
      </c>
      <c r="O15" s="90" t="s">
        <v>11</v>
      </c>
      <c r="P15" s="125">
        <v>8.0</v>
      </c>
      <c r="Q15" s="130" t="s">
        <v>4</v>
      </c>
      <c r="R15" s="125">
        <v>0.0</v>
      </c>
      <c r="S15" s="125">
        <f t="shared" si="1"/>
        <v>16</v>
      </c>
    </row>
    <row r="16">
      <c r="A16" s="109" t="s">
        <v>78</v>
      </c>
      <c r="B16" s="125" t="s">
        <v>314</v>
      </c>
      <c r="C16" s="125">
        <v>40.0</v>
      </c>
      <c r="D16" s="125" t="s">
        <v>79</v>
      </c>
      <c r="E16" s="212"/>
      <c r="F16" s="125">
        <v>0.0</v>
      </c>
      <c r="G16" s="212"/>
      <c r="H16" s="125">
        <v>0.0</v>
      </c>
      <c r="I16" s="215"/>
      <c r="J16" s="125">
        <v>0.0</v>
      </c>
      <c r="K16" s="212"/>
      <c r="L16" s="125">
        <v>0.0</v>
      </c>
      <c r="M16" s="90" t="s">
        <v>51</v>
      </c>
      <c r="N16" s="125">
        <v>8.0</v>
      </c>
      <c r="O16" s="90" t="s">
        <v>51</v>
      </c>
      <c r="P16" s="125">
        <v>8.0</v>
      </c>
      <c r="Q16" s="126" t="s">
        <v>4</v>
      </c>
      <c r="R16" s="125">
        <v>0.0</v>
      </c>
      <c r="S16" s="125">
        <f t="shared" si="1"/>
        <v>16</v>
      </c>
    </row>
    <row r="17">
      <c r="A17" s="106" t="s">
        <v>94</v>
      </c>
      <c r="B17" s="125" t="s">
        <v>314</v>
      </c>
      <c r="C17" s="125">
        <v>40.0</v>
      </c>
      <c r="D17" s="125" t="s">
        <v>95</v>
      </c>
      <c r="E17" s="212"/>
      <c r="F17" s="125">
        <v>0.0</v>
      </c>
      <c r="G17" s="215"/>
      <c r="H17" s="125">
        <v>0.0</v>
      </c>
      <c r="I17" s="212"/>
      <c r="J17" s="125">
        <v>0.0</v>
      </c>
      <c r="K17" s="212"/>
      <c r="L17" s="125">
        <v>0.0</v>
      </c>
      <c r="M17" s="90" t="s">
        <v>36</v>
      </c>
      <c r="N17" s="125">
        <v>8.0</v>
      </c>
      <c r="O17" s="90" t="s">
        <v>36</v>
      </c>
      <c r="P17" s="125">
        <v>8.0</v>
      </c>
      <c r="Q17" s="126" t="s">
        <v>4</v>
      </c>
      <c r="R17" s="125">
        <v>0.0</v>
      </c>
      <c r="S17" s="125">
        <f t="shared" si="1"/>
        <v>16</v>
      </c>
    </row>
    <row r="18">
      <c r="A18" s="113" t="s">
        <v>86</v>
      </c>
      <c r="B18" s="125" t="s">
        <v>317</v>
      </c>
      <c r="C18" s="125">
        <v>40.0</v>
      </c>
      <c r="D18" s="125" t="s">
        <v>87</v>
      </c>
      <c r="E18" s="212"/>
      <c r="F18" s="125">
        <v>0.0</v>
      </c>
      <c r="G18" s="215"/>
      <c r="H18" s="125">
        <v>0.0</v>
      </c>
      <c r="I18" s="212"/>
      <c r="J18" s="125">
        <v>0.0</v>
      </c>
      <c r="K18" s="212"/>
      <c r="L18" s="125">
        <v>0.0</v>
      </c>
      <c r="M18" s="90" t="s">
        <v>36</v>
      </c>
      <c r="N18" s="125">
        <v>8.0</v>
      </c>
      <c r="O18" s="90" t="s">
        <v>36</v>
      </c>
      <c r="P18" s="125">
        <v>8.0</v>
      </c>
      <c r="Q18" s="129" t="s">
        <v>17</v>
      </c>
      <c r="R18" s="125">
        <v>8.0</v>
      </c>
      <c r="S18" s="125">
        <f t="shared" si="1"/>
        <v>24</v>
      </c>
    </row>
    <row r="19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216">
        <f>S4+S5+S6+S7+S8+S9+S10+S11+S12+S13+S14+S15+S16+S17+S18</f>
        <v>424</v>
      </c>
    </row>
    <row r="20">
      <c r="A20" s="100" t="s">
        <v>320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</row>
    <row r="21">
      <c r="A21" s="103" t="s">
        <v>65</v>
      </c>
      <c r="B21" s="205" t="s">
        <v>66</v>
      </c>
      <c r="C21" s="103" t="s">
        <v>67</v>
      </c>
      <c r="D21" s="206" t="s">
        <v>68</v>
      </c>
      <c r="E21" s="103" t="s">
        <v>100</v>
      </c>
      <c r="F21" s="207"/>
      <c r="G21" s="103" t="s">
        <v>101</v>
      </c>
      <c r="H21" s="207"/>
      <c r="I21" s="103" t="s">
        <v>102</v>
      </c>
      <c r="J21" s="207"/>
      <c r="K21" s="103" t="s">
        <v>103</v>
      </c>
      <c r="L21" s="207"/>
      <c r="M21" s="103" t="s">
        <v>104</v>
      </c>
      <c r="N21" s="207"/>
      <c r="O21" s="103" t="s">
        <v>105</v>
      </c>
      <c r="P21" s="207"/>
      <c r="Q21" s="103" t="s">
        <v>106</v>
      </c>
      <c r="R21" s="208"/>
      <c r="S21" s="103" t="s">
        <v>107</v>
      </c>
    </row>
    <row r="22">
      <c r="A22" s="106" t="s">
        <v>82</v>
      </c>
      <c r="B22" s="125" t="s">
        <v>314</v>
      </c>
      <c r="C22" s="125">
        <v>40.0</v>
      </c>
      <c r="D22" s="209"/>
      <c r="E22" s="90" t="s">
        <v>51</v>
      </c>
      <c r="F22" s="125">
        <v>8.0</v>
      </c>
      <c r="G22" s="90" t="s">
        <v>51</v>
      </c>
      <c r="H22" s="125">
        <v>8.0</v>
      </c>
      <c r="I22" s="126" t="s">
        <v>4</v>
      </c>
      <c r="J22" s="125">
        <v>0.0</v>
      </c>
      <c r="K22" s="90" t="s">
        <v>51</v>
      </c>
      <c r="L22" s="125">
        <v>8.0</v>
      </c>
      <c r="M22" s="90" t="s">
        <v>51</v>
      </c>
      <c r="N22" s="125">
        <v>8.0</v>
      </c>
      <c r="O22" s="90" t="s">
        <v>51</v>
      </c>
      <c r="P22" s="125">
        <v>8.0</v>
      </c>
      <c r="Q22" s="130" t="s">
        <v>4</v>
      </c>
      <c r="R22" s="125">
        <v>0.0</v>
      </c>
      <c r="S22" s="125">
        <v>40.0</v>
      </c>
    </row>
    <row r="23">
      <c r="A23" s="109" t="s">
        <v>90</v>
      </c>
      <c r="B23" s="125" t="s">
        <v>315</v>
      </c>
      <c r="C23" s="125">
        <v>40.0</v>
      </c>
      <c r="D23" s="125" t="s">
        <v>108</v>
      </c>
      <c r="E23" s="130" t="s">
        <v>4</v>
      </c>
      <c r="F23" s="125">
        <v>0.0</v>
      </c>
      <c r="G23" s="80" t="s">
        <v>51</v>
      </c>
      <c r="H23" s="125">
        <v>8.0</v>
      </c>
      <c r="I23" s="80" t="s">
        <v>51</v>
      </c>
      <c r="J23" s="125">
        <v>8.0</v>
      </c>
      <c r="K23" s="80" t="s">
        <v>51</v>
      </c>
      <c r="L23" s="125">
        <v>8.0</v>
      </c>
      <c r="M23" s="80" t="s">
        <v>51</v>
      </c>
      <c r="N23" s="125">
        <v>8.0</v>
      </c>
      <c r="O23" s="80" t="s">
        <v>51</v>
      </c>
      <c r="P23" s="125">
        <v>8.0</v>
      </c>
      <c r="Q23" s="126" t="s">
        <v>4</v>
      </c>
      <c r="R23" s="125">
        <v>0.0</v>
      </c>
      <c r="S23" s="125">
        <v>40.0</v>
      </c>
    </row>
    <row r="24">
      <c r="A24" s="109" t="s">
        <v>88</v>
      </c>
      <c r="B24" s="125" t="s">
        <v>315</v>
      </c>
      <c r="C24" s="125">
        <v>40.0</v>
      </c>
      <c r="D24" s="125" t="s">
        <v>89</v>
      </c>
      <c r="E24" s="90" t="s">
        <v>36</v>
      </c>
      <c r="F24" s="125">
        <v>8.0</v>
      </c>
      <c r="G24" s="126" t="s">
        <v>4</v>
      </c>
      <c r="H24" s="125">
        <v>0.0</v>
      </c>
      <c r="I24" s="90" t="s">
        <v>36</v>
      </c>
      <c r="J24" s="125">
        <v>8.0</v>
      </c>
      <c r="K24" s="90" t="s">
        <v>36</v>
      </c>
      <c r="L24" s="125">
        <v>8.0</v>
      </c>
      <c r="M24" s="90" t="s">
        <v>36</v>
      </c>
      <c r="N24" s="125">
        <v>8.0</v>
      </c>
      <c r="O24" s="90" t="s">
        <v>36</v>
      </c>
      <c r="P24" s="125">
        <v>8.0</v>
      </c>
      <c r="Q24" s="126" t="s">
        <v>4</v>
      </c>
      <c r="R24" s="125">
        <v>0.0</v>
      </c>
      <c r="S24" s="125">
        <v>40.0</v>
      </c>
    </row>
    <row r="25">
      <c r="A25" s="106" t="s">
        <v>70</v>
      </c>
      <c r="B25" s="125" t="s">
        <v>316</v>
      </c>
      <c r="C25" s="108">
        <v>40.0</v>
      </c>
      <c r="D25" s="125" t="s">
        <v>71</v>
      </c>
      <c r="E25" s="211" t="s">
        <v>4</v>
      </c>
      <c r="F25" s="125">
        <v>0.0</v>
      </c>
      <c r="G25" s="80" t="s">
        <v>51</v>
      </c>
      <c r="H25" s="125">
        <v>8.0</v>
      </c>
      <c r="I25" s="80" t="s">
        <v>51</v>
      </c>
      <c r="J25" s="125">
        <v>8.0</v>
      </c>
      <c r="K25" s="80" t="s">
        <v>51</v>
      </c>
      <c r="L25" s="125">
        <v>8.0</v>
      </c>
      <c r="M25" s="80" t="s">
        <v>51</v>
      </c>
      <c r="N25" s="125">
        <v>8.0</v>
      </c>
      <c r="O25" s="80" t="s">
        <v>51</v>
      </c>
      <c r="P25" s="125">
        <v>8.0</v>
      </c>
      <c r="Q25" s="211" t="s">
        <v>4</v>
      </c>
      <c r="R25" s="108">
        <v>0.0</v>
      </c>
      <c r="S25" s="108">
        <v>40.0</v>
      </c>
    </row>
    <row r="26">
      <c r="A26" s="106" t="s">
        <v>72</v>
      </c>
      <c r="B26" s="125" t="s">
        <v>315</v>
      </c>
      <c r="C26" s="125">
        <v>40.0</v>
      </c>
      <c r="D26" s="125" t="s">
        <v>73</v>
      </c>
      <c r="E26" s="211" t="s">
        <v>4</v>
      </c>
      <c r="F26" s="125">
        <v>0.0</v>
      </c>
      <c r="G26" s="90" t="s">
        <v>51</v>
      </c>
      <c r="H26" s="125">
        <v>8.0</v>
      </c>
      <c r="I26" s="90" t="s">
        <v>51</v>
      </c>
      <c r="J26" s="125">
        <v>8.0</v>
      </c>
      <c r="K26" s="90" t="s">
        <v>51</v>
      </c>
      <c r="L26" s="125">
        <v>8.0</v>
      </c>
      <c r="M26" s="90" t="s">
        <v>51</v>
      </c>
      <c r="N26" s="125">
        <v>8.0</v>
      </c>
      <c r="O26" s="90" t="s">
        <v>51</v>
      </c>
      <c r="P26" s="125">
        <v>8.0</v>
      </c>
      <c r="Q26" s="126" t="s">
        <v>4</v>
      </c>
      <c r="R26" s="125">
        <v>0.0</v>
      </c>
      <c r="S26" s="125">
        <v>40.0</v>
      </c>
    </row>
    <row r="27">
      <c r="A27" s="106" t="s">
        <v>96</v>
      </c>
      <c r="B27" s="125" t="s">
        <v>317</v>
      </c>
      <c r="C27" s="213">
        <v>40.0</v>
      </c>
      <c r="D27" s="125" t="s">
        <v>97</v>
      </c>
      <c r="E27" s="80" t="s">
        <v>51</v>
      </c>
      <c r="F27" s="125">
        <v>8.0</v>
      </c>
      <c r="G27" s="80" t="s">
        <v>51</v>
      </c>
      <c r="H27" s="125">
        <v>8.0</v>
      </c>
      <c r="I27" s="126" t="s">
        <v>4</v>
      </c>
      <c r="J27" s="125">
        <v>0.0</v>
      </c>
      <c r="K27" s="80" t="s">
        <v>51</v>
      </c>
      <c r="L27" s="125">
        <v>8.0</v>
      </c>
      <c r="M27" s="80" t="s">
        <v>51</v>
      </c>
      <c r="N27" s="125">
        <v>8.0</v>
      </c>
      <c r="O27" s="80" t="s">
        <v>51</v>
      </c>
      <c r="P27" s="125">
        <v>8.0</v>
      </c>
      <c r="Q27" s="130" t="s">
        <v>4</v>
      </c>
      <c r="R27" s="125">
        <v>0.0</v>
      </c>
      <c r="S27" s="125">
        <v>40.0</v>
      </c>
    </row>
    <row r="28">
      <c r="A28" s="106" t="s">
        <v>92</v>
      </c>
      <c r="B28" s="125" t="s">
        <v>316</v>
      </c>
      <c r="C28" s="125">
        <v>40.0</v>
      </c>
      <c r="D28" s="125" t="s">
        <v>93</v>
      </c>
      <c r="E28" s="80" t="s">
        <v>51</v>
      </c>
      <c r="F28" s="125">
        <v>8.0</v>
      </c>
      <c r="G28" s="130" t="s">
        <v>4</v>
      </c>
      <c r="H28" s="125">
        <v>0.0</v>
      </c>
      <c r="I28" s="80" t="s">
        <v>51</v>
      </c>
      <c r="J28" s="125">
        <v>8.0</v>
      </c>
      <c r="K28" s="80" t="s">
        <v>51</v>
      </c>
      <c r="L28" s="125">
        <v>8.0</v>
      </c>
      <c r="M28" s="80" t="s">
        <v>51</v>
      </c>
      <c r="N28" s="125">
        <v>8.0</v>
      </c>
      <c r="O28" s="80" t="s">
        <v>51</v>
      </c>
      <c r="P28" s="125">
        <v>8.0</v>
      </c>
      <c r="Q28" s="126" t="s">
        <v>4</v>
      </c>
      <c r="R28" s="125">
        <v>0.0</v>
      </c>
      <c r="S28" s="125">
        <v>40.0</v>
      </c>
    </row>
    <row r="29">
      <c r="A29" s="113" t="s">
        <v>76</v>
      </c>
      <c r="B29" s="125" t="s">
        <v>317</v>
      </c>
      <c r="C29" s="125">
        <v>40.0</v>
      </c>
      <c r="D29" s="125" t="s">
        <v>77</v>
      </c>
      <c r="E29" s="126" t="s">
        <v>4</v>
      </c>
      <c r="F29" s="125">
        <v>0.0</v>
      </c>
      <c r="G29" s="126" t="s">
        <v>4</v>
      </c>
      <c r="H29" s="125">
        <v>0.0</v>
      </c>
      <c r="I29" s="80" t="s">
        <v>51</v>
      </c>
      <c r="J29" s="125">
        <v>8.0</v>
      </c>
      <c r="K29" s="80" t="s">
        <v>51</v>
      </c>
      <c r="L29" s="125">
        <v>8.0</v>
      </c>
      <c r="M29" s="80" t="s">
        <v>51</v>
      </c>
      <c r="N29" s="125">
        <v>8.0</v>
      </c>
      <c r="O29" s="80" t="s">
        <v>51</v>
      </c>
      <c r="P29" s="125">
        <v>8.0</v>
      </c>
      <c r="Q29" s="80" t="s">
        <v>51</v>
      </c>
      <c r="R29" s="125">
        <v>8.0</v>
      </c>
      <c r="S29" s="125">
        <v>40.0</v>
      </c>
    </row>
    <row r="30">
      <c r="A30" s="106" t="s">
        <v>74</v>
      </c>
      <c r="B30" s="125" t="s">
        <v>315</v>
      </c>
      <c r="C30" s="125">
        <v>40.0</v>
      </c>
      <c r="D30" s="125" t="s">
        <v>318</v>
      </c>
      <c r="E30" s="126" t="s">
        <v>4</v>
      </c>
      <c r="F30" s="125">
        <v>0.0</v>
      </c>
      <c r="G30" s="129" t="s">
        <v>17</v>
      </c>
      <c r="H30" s="125">
        <v>8.0</v>
      </c>
      <c r="I30" s="129" t="s">
        <v>17</v>
      </c>
      <c r="J30" s="125">
        <v>8.0</v>
      </c>
      <c r="K30" s="129" t="s">
        <v>17</v>
      </c>
      <c r="L30" s="125">
        <v>8.0</v>
      </c>
      <c r="M30" s="129" t="s">
        <v>17</v>
      </c>
      <c r="N30" s="125">
        <v>8.0</v>
      </c>
      <c r="O30" s="129" t="s">
        <v>17</v>
      </c>
      <c r="P30" s="125">
        <v>8.0</v>
      </c>
      <c r="Q30" s="126" t="s">
        <v>4</v>
      </c>
      <c r="R30" s="125">
        <v>0.0</v>
      </c>
      <c r="S30" s="125">
        <v>40.0</v>
      </c>
    </row>
    <row r="31">
      <c r="A31" s="106" t="s">
        <v>84</v>
      </c>
      <c r="B31" s="125" t="s">
        <v>317</v>
      </c>
      <c r="C31" s="125">
        <v>40.0</v>
      </c>
      <c r="D31" s="125" t="s">
        <v>85</v>
      </c>
      <c r="E31" s="80" t="s">
        <v>51</v>
      </c>
      <c r="F31" s="125">
        <v>8.0</v>
      </c>
      <c r="G31" s="80" t="s">
        <v>51</v>
      </c>
      <c r="H31" s="125">
        <v>8.0</v>
      </c>
      <c r="I31" s="126" t="s">
        <v>4</v>
      </c>
      <c r="J31" s="125">
        <v>0.0</v>
      </c>
      <c r="K31" s="80" t="s">
        <v>51</v>
      </c>
      <c r="L31" s="125">
        <v>8.0</v>
      </c>
      <c r="M31" s="80" t="s">
        <v>51</v>
      </c>
      <c r="N31" s="125">
        <v>8.0</v>
      </c>
      <c r="O31" s="80" t="s">
        <v>51</v>
      </c>
      <c r="P31" s="125">
        <v>8.0</v>
      </c>
      <c r="Q31" s="126" t="s">
        <v>4</v>
      </c>
      <c r="R31" s="125">
        <v>0.0</v>
      </c>
      <c r="S31" s="125">
        <v>40.0</v>
      </c>
    </row>
    <row r="32">
      <c r="A32" s="106" t="s">
        <v>98</v>
      </c>
      <c r="B32" s="125" t="s">
        <v>317</v>
      </c>
      <c r="C32" s="125">
        <v>40.0</v>
      </c>
      <c r="D32" s="108" t="s">
        <v>319</v>
      </c>
      <c r="E32" s="90" t="s">
        <v>51</v>
      </c>
      <c r="F32" s="125">
        <v>8.0</v>
      </c>
      <c r="G32" s="130" t="s">
        <v>4</v>
      </c>
      <c r="H32" s="125">
        <v>0.0</v>
      </c>
      <c r="I32" s="90" t="s">
        <v>51</v>
      </c>
      <c r="J32" s="125">
        <v>8.0</v>
      </c>
      <c r="K32" s="90" t="s">
        <v>51</v>
      </c>
      <c r="L32" s="125">
        <v>8.0</v>
      </c>
      <c r="M32" s="90" t="s">
        <v>51</v>
      </c>
      <c r="N32" s="125">
        <v>8.0</v>
      </c>
      <c r="O32" s="90" t="s">
        <v>51</v>
      </c>
      <c r="P32" s="125">
        <v>8.0</v>
      </c>
      <c r="Q32" s="130" t="s">
        <v>4</v>
      </c>
      <c r="R32" s="213">
        <v>0.0</v>
      </c>
      <c r="S32" s="213">
        <v>40.0</v>
      </c>
    </row>
    <row r="33">
      <c r="A33" s="106" t="s">
        <v>80</v>
      </c>
      <c r="B33" s="125" t="s">
        <v>315</v>
      </c>
      <c r="C33" s="125">
        <v>40.0</v>
      </c>
      <c r="D33" s="125" t="s">
        <v>81</v>
      </c>
      <c r="E33" s="129" t="s">
        <v>64</v>
      </c>
      <c r="F33" s="125">
        <v>8.0</v>
      </c>
      <c r="G33" s="129" t="s">
        <v>64</v>
      </c>
      <c r="H33" s="125">
        <v>8.0</v>
      </c>
      <c r="I33" s="126" t="s">
        <v>4</v>
      </c>
      <c r="J33" s="125">
        <v>0.0</v>
      </c>
      <c r="K33" s="129" t="s">
        <v>64</v>
      </c>
      <c r="L33" s="125">
        <v>8.0</v>
      </c>
      <c r="M33" s="90" t="s">
        <v>11</v>
      </c>
      <c r="N33" s="125">
        <v>8.0</v>
      </c>
      <c r="O33" s="90" t="s">
        <v>11</v>
      </c>
      <c r="P33" s="125">
        <v>8.0</v>
      </c>
      <c r="Q33" s="130" t="s">
        <v>4</v>
      </c>
      <c r="R33" s="125">
        <v>0.0</v>
      </c>
      <c r="S33" s="125">
        <v>40.0</v>
      </c>
    </row>
    <row r="34">
      <c r="A34" s="109" t="s">
        <v>78</v>
      </c>
      <c r="B34" s="125" t="s">
        <v>314</v>
      </c>
      <c r="C34" s="125">
        <v>40.0</v>
      </c>
      <c r="D34" s="125" t="s">
        <v>79</v>
      </c>
      <c r="E34" s="90" t="s">
        <v>51</v>
      </c>
      <c r="F34" s="125">
        <v>8.0</v>
      </c>
      <c r="G34" s="90" t="s">
        <v>51</v>
      </c>
      <c r="H34" s="125">
        <v>8.0</v>
      </c>
      <c r="I34" s="90" t="s">
        <v>51</v>
      </c>
      <c r="J34" s="125">
        <v>8.0</v>
      </c>
      <c r="K34" s="126" t="s">
        <v>4</v>
      </c>
      <c r="L34" s="125">
        <v>0.0</v>
      </c>
      <c r="M34" s="90" t="s">
        <v>51</v>
      </c>
      <c r="N34" s="125">
        <v>8.0</v>
      </c>
      <c r="O34" s="90" t="s">
        <v>51</v>
      </c>
      <c r="P34" s="125">
        <v>8.0</v>
      </c>
      <c r="Q34" s="126" t="s">
        <v>4</v>
      </c>
      <c r="R34" s="125">
        <v>0.0</v>
      </c>
      <c r="S34" s="125">
        <v>40.0</v>
      </c>
    </row>
    <row r="35">
      <c r="A35" s="106" t="s">
        <v>94</v>
      </c>
      <c r="B35" s="125" t="s">
        <v>314</v>
      </c>
      <c r="C35" s="125">
        <v>40.0</v>
      </c>
      <c r="D35" s="125" t="s">
        <v>95</v>
      </c>
      <c r="E35" s="90" t="s">
        <v>36</v>
      </c>
      <c r="F35" s="125">
        <v>8.0</v>
      </c>
      <c r="G35" s="126" t="s">
        <v>4</v>
      </c>
      <c r="H35" s="125">
        <v>0.0</v>
      </c>
      <c r="I35" s="90" t="s">
        <v>36</v>
      </c>
      <c r="J35" s="125">
        <v>8.0</v>
      </c>
      <c r="K35" s="90" t="s">
        <v>36</v>
      </c>
      <c r="L35" s="125">
        <v>8.0</v>
      </c>
      <c r="M35" s="90" t="s">
        <v>36</v>
      </c>
      <c r="N35" s="125">
        <v>8.0</v>
      </c>
      <c r="O35" s="90" t="s">
        <v>36</v>
      </c>
      <c r="P35" s="125">
        <v>8.0</v>
      </c>
      <c r="Q35" s="126" t="s">
        <v>4</v>
      </c>
      <c r="R35" s="125">
        <v>0.0</v>
      </c>
      <c r="S35" s="125">
        <v>40.0</v>
      </c>
    </row>
    <row r="36">
      <c r="A36" s="113" t="s">
        <v>86</v>
      </c>
      <c r="B36" s="125" t="s">
        <v>317</v>
      </c>
      <c r="C36" s="125">
        <v>40.0</v>
      </c>
      <c r="D36" s="125" t="s">
        <v>87</v>
      </c>
      <c r="E36" s="126" t="s">
        <v>4</v>
      </c>
      <c r="F36" s="125">
        <v>0.0</v>
      </c>
      <c r="G36" s="126" t="s">
        <v>4</v>
      </c>
      <c r="H36" s="125">
        <v>0.0</v>
      </c>
      <c r="I36" s="129" t="s">
        <v>17</v>
      </c>
      <c r="J36" s="125">
        <v>8.0</v>
      </c>
      <c r="K36" s="129" t="s">
        <v>17</v>
      </c>
      <c r="L36" s="125">
        <v>8.0</v>
      </c>
      <c r="M36" s="129" t="s">
        <v>17</v>
      </c>
      <c r="N36" s="125">
        <v>8.0</v>
      </c>
      <c r="O36" s="129" t="s">
        <v>17</v>
      </c>
      <c r="P36" s="125">
        <v>8.0</v>
      </c>
      <c r="Q36" s="129" t="s">
        <v>17</v>
      </c>
      <c r="R36" s="125">
        <v>8.0</v>
      </c>
      <c r="S36" s="125">
        <v>40.0</v>
      </c>
    </row>
    <row r="37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>
        <f>SUM(S22:S36)</f>
        <v>600</v>
      </c>
    </row>
    <row r="38">
      <c r="A38" s="100" t="s">
        <v>321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</row>
    <row r="39">
      <c r="A39" s="103" t="s">
        <v>65</v>
      </c>
      <c r="B39" s="205" t="s">
        <v>66</v>
      </c>
      <c r="C39" s="103" t="s">
        <v>67</v>
      </c>
      <c r="D39" s="206" t="s">
        <v>68</v>
      </c>
      <c r="E39" s="103" t="s">
        <v>100</v>
      </c>
      <c r="F39" s="207"/>
      <c r="G39" s="103" t="s">
        <v>101</v>
      </c>
      <c r="H39" s="207"/>
      <c r="I39" s="103" t="s">
        <v>102</v>
      </c>
      <c r="J39" s="207"/>
      <c r="K39" s="103" t="s">
        <v>103</v>
      </c>
      <c r="L39" s="207"/>
      <c r="M39" s="103" t="s">
        <v>104</v>
      </c>
      <c r="N39" s="207"/>
      <c r="O39" s="103" t="s">
        <v>105</v>
      </c>
      <c r="P39" s="207"/>
      <c r="Q39" s="103" t="s">
        <v>106</v>
      </c>
      <c r="R39" s="208"/>
      <c r="S39" s="103" t="s">
        <v>107</v>
      </c>
    </row>
    <row r="40">
      <c r="A40" s="106" t="s">
        <v>82</v>
      </c>
      <c r="B40" s="125" t="s">
        <v>314</v>
      </c>
      <c r="C40" s="125">
        <v>40.0</v>
      </c>
      <c r="D40" s="209"/>
      <c r="E40" s="90" t="s">
        <v>51</v>
      </c>
      <c r="F40" s="125">
        <v>8.0</v>
      </c>
      <c r="G40" s="90" t="s">
        <v>51</v>
      </c>
      <c r="H40" s="125">
        <v>8.0</v>
      </c>
      <c r="I40" s="126" t="s">
        <v>4</v>
      </c>
      <c r="J40" s="125">
        <v>0.0</v>
      </c>
      <c r="K40" s="90" t="s">
        <v>51</v>
      </c>
      <c r="L40" s="125">
        <v>8.0</v>
      </c>
      <c r="M40" s="90" t="s">
        <v>51</v>
      </c>
      <c r="N40" s="125">
        <v>8.0</v>
      </c>
      <c r="O40" s="90" t="s">
        <v>51</v>
      </c>
      <c r="P40" s="125">
        <v>8.0</v>
      </c>
      <c r="Q40" s="130" t="s">
        <v>4</v>
      </c>
      <c r="R40" s="125">
        <v>0.0</v>
      </c>
      <c r="S40" s="125">
        <v>40.0</v>
      </c>
    </row>
    <row r="41">
      <c r="A41" s="109" t="s">
        <v>90</v>
      </c>
      <c r="B41" s="125" t="s">
        <v>315</v>
      </c>
      <c r="C41" s="125">
        <v>40.0</v>
      </c>
      <c r="D41" s="125" t="s">
        <v>108</v>
      </c>
      <c r="E41" s="130" t="s">
        <v>4</v>
      </c>
      <c r="F41" s="125">
        <v>0.0</v>
      </c>
      <c r="G41" s="80" t="s">
        <v>51</v>
      </c>
      <c r="H41" s="125">
        <v>8.0</v>
      </c>
      <c r="I41" s="80" t="s">
        <v>51</v>
      </c>
      <c r="J41" s="125">
        <v>8.0</v>
      </c>
      <c r="K41" s="80" t="s">
        <v>51</v>
      </c>
      <c r="L41" s="125">
        <v>8.0</v>
      </c>
      <c r="M41" s="80" t="s">
        <v>51</v>
      </c>
      <c r="N41" s="125">
        <v>8.0</v>
      </c>
      <c r="O41" s="80" t="s">
        <v>51</v>
      </c>
      <c r="P41" s="125">
        <v>8.0</v>
      </c>
      <c r="Q41" s="126" t="s">
        <v>4</v>
      </c>
      <c r="R41" s="125">
        <v>0.0</v>
      </c>
      <c r="S41" s="125">
        <v>40.0</v>
      </c>
    </row>
    <row r="42">
      <c r="A42" s="109" t="s">
        <v>88</v>
      </c>
      <c r="B42" s="125" t="s">
        <v>315</v>
      </c>
      <c r="C42" s="125">
        <v>40.0</v>
      </c>
      <c r="D42" s="125" t="s">
        <v>89</v>
      </c>
      <c r="E42" s="90" t="s">
        <v>36</v>
      </c>
      <c r="F42" s="125">
        <v>8.0</v>
      </c>
      <c r="G42" s="126" t="s">
        <v>4</v>
      </c>
      <c r="H42" s="125">
        <v>0.0</v>
      </c>
      <c r="I42" s="90" t="s">
        <v>36</v>
      </c>
      <c r="J42" s="125">
        <v>8.0</v>
      </c>
      <c r="K42" s="90" t="s">
        <v>36</v>
      </c>
      <c r="L42" s="125">
        <v>8.0</v>
      </c>
      <c r="M42" s="90" t="s">
        <v>36</v>
      </c>
      <c r="N42" s="125">
        <v>8.0</v>
      </c>
      <c r="O42" s="90" t="s">
        <v>36</v>
      </c>
      <c r="P42" s="125">
        <v>8.0</v>
      </c>
      <c r="Q42" s="126" t="s">
        <v>4</v>
      </c>
      <c r="R42" s="125">
        <v>0.0</v>
      </c>
      <c r="S42" s="125">
        <v>40.0</v>
      </c>
    </row>
    <row r="43">
      <c r="A43" s="106" t="s">
        <v>70</v>
      </c>
      <c r="B43" s="125" t="s">
        <v>316</v>
      </c>
      <c r="C43" s="108">
        <v>40.0</v>
      </c>
      <c r="D43" s="125" t="s">
        <v>71</v>
      </c>
      <c r="E43" s="211" t="s">
        <v>4</v>
      </c>
      <c r="F43" s="125">
        <v>0.0</v>
      </c>
      <c r="G43" s="80" t="s">
        <v>51</v>
      </c>
      <c r="H43" s="125">
        <v>8.0</v>
      </c>
      <c r="I43" s="80" t="s">
        <v>51</v>
      </c>
      <c r="J43" s="125">
        <v>8.0</v>
      </c>
      <c r="K43" s="80" t="s">
        <v>51</v>
      </c>
      <c r="L43" s="125">
        <v>8.0</v>
      </c>
      <c r="M43" s="80" t="s">
        <v>51</v>
      </c>
      <c r="N43" s="125">
        <v>8.0</v>
      </c>
      <c r="O43" s="80" t="s">
        <v>51</v>
      </c>
      <c r="P43" s="125">
        <v>8.0</v>
      </c>
      <c r="Q43" s="211" t="s">
        <v>4</v>
      </c>
      <c r="R43" s="108">
        <v>0.0</v>
      </c>
      <c r="S43" s="108">
        <v>40.0</v>
      </c>
    </row>
    <row r="44">
      <c r="A44" s="106" t="s">
        <v>72</v>
      </c>
      <c r="B44" s="125" t="s">
        <v>315</v>
      </c>
      <c r="C44" s="125">
        <v>40.0</v>
      </c>
      <c r="D44" s="125" t="s">
        <v>73</v>
      </c>
      <c r="E44" s="211" t="s">
        <v>4</v>
      </c>
      <c r="F44" s="125">
        <v>0.0</v>
      </c>
      <c r="G44" s="90" t="s">
        <v>51</v>
      </c>
      <c r="H44" s="125">
        <v>8.0</v>
      </c>
      <c r="I44" s="90" t="s">
        <v>51</v>
      </c>
      <c r="J44" s="125">
        <v>8.0</v>
      </c>
      <c r="K44" s="90" t="s">
        <v>51</v>
      </c>
      <c r="L44" s="125">
        <v>8.0</v>
      </c>
      <c r="M44" s="90" t="s">
        <v>51</v>
      </c>
      <c r="N44" s="125">
        <v>8.0</v>
      </c>
      <c r="O44" s="90" t="s">
        <v>51</v>
      </c>
      <c r="P44" s="125">
        <v>8.0</v>
      </c>
      <c r="Q44" s="126" t="s">
        <v>4</v>
      </c>
      <c r="R44" s="125">
        <v>0.0</v>
      </c>
      <c r="S44" s="125">
        <v>40.0</v>
      </c>
    </row>
    <row r="45">
      <c r="A45" s="106" t="s">
        <v>96</v>
      </c>
      <c r="B45" s="125" t="s">
        <v>317</v>
      </c>
      <c r="C45" s="213">
        <v>40.0</v>
      </c>
      <c r="D45" s="125" t="s">
        <v>97</v>
      </c>
      <c r="E45" s="80" t="s">
        <v>51</v>
      </c>
      <c r="F45" s="125">
        <v>8.0</v>
      </c>
      <c r="G45" s="80" t="s">
        <v>51</v>
      </c>
      <c r="H45" s="125">
        <v>8.0</v>
      </c>
      <c r="I45" s="126" t="s">
        <v>4</v>
      </c>
      <c r="J45" s="125">
        <v>0.0</v>
      </c>
      <c r="K45" s="80" t="s">
        <v>51</v>
      </c>
      <c r="L45" s="125">
        <v>8.0</v>
      </c>
      <c r="M45" s="80" t="s">
        <v>51</v>
      </c>
      <c r="N45" s="125">
        <v>8.0</v>
      </c>
      <c r="O45" s="80" t="s">
        <v>51</v>
      </c>
      <c r="P45" s="125">
        <v>8.0</v>
      </c>
      <c r="Q45" s="130" t="s">
        <v>4</v>
      </c>
      <c r="R45" s="125">
        <v>0.0</v>
      </c>
      <c r="S45" s="125">
        <v>40.0</v>
      </c>
    </row>
    <row r="46">
      <c r="A46" s="106" t="s">
        <v>92</v>
      </c>
      <c r="B46" s="125" t="s">
        <v>316</v>
      </c>
      <c r="C46" s="125">
        <v>40.0</v>
      </c>
      <c r="D46" s="125" t="s">
        <v>93</v>
      </c>
      <c r="E46" s="80" t="s">
        <v>51</v>
      </c>
      <c r="F46" s="125">
        <v>8.0</v>
      </c>
      <c r="G46" s="130" t="s">
        <v>4</v>
      </c>
      <c r="H46" s="125">
        <v>0.0</v>
      </c>
      <c r="I46" s="80" t="s">
        <v>51</v>
      </c>
      <c r="J46" s="125">
        <v>8.0</v>
      </c>
      <c r="K46" s="80" t="s">
        <v>51</v>
      </c>
      <c r="L46" s="125">
        <v>8.0</v>
      </c>
      <c r="M46" s="80" t="s">
        <v>51</v>
      </c>
      <c r="N46" s="125">
        <v>8.0</v>
      </c>
      <c r="O46" s="80" t="s">
        <v>51</v>
      </c>
      <c r="P46" s="125">
        <v>8.0</v>
      </c>
      <c r="Q46" s="126" t="s">
        <v>4</v>
      </c>
      <c r="R46" s="125">
        <v>0.0</v>
      </c>
      <c r="S46" s="125">
        <v>40.0</v>
      </c>
    </row>
    <row r="47">
      <c r="A47" s="113" t="s">
        <v>76</v>
      </c>
      <c r="B47" s="125" t="s">
        <v>317</v>
      </c>
      <c r="C47" s="125">
        <v>40.0</v>
      </c>
      <c r="D47" s="125" t="s">
        <v>77</v>
      </c>
      <c r="E47" s="126" t="s">
        <v>4</v>
      </c>
      <c r="F47" s="125">
        <v>0.0</v>
      </c>
      <c r="G47" s="126" t="s">
        <v>4</v>
      </c>
      <c r="H47" s="125">
        <v>0.0</v>
      </c>
      <c r="I47" s="80" t="s">
        <v>51</v>
      </c>
      <c r="J47" s="125">
        <v>8.0</v>
      </c>
      <c r="K47" s="80" t="s">
        <v>51</v>
      </c>
      <c r="L47" s="125">
        <v>8.0</v>
      </c>
      <c r="M47" s="80" t="s">
        <v>51</v>
      </c>
      <c r="N47" s="125">
        <v>8.0</v>
      </c>
      <c r="O47" s="80" t="s">
        <v>51</v>
      </c>
      <c r="P47" s="125">
        <v>8.0</v>
      </c>
      <c r="Q47" s="80" t="s">
        <v>51</v>
      </c>
      <c r="R47" s="125">
        <v>8.0</v>
      </c>
      <c r="S47" s="125">
        <v>40.0</v>
      </c>
    </row>
    <row r="48">
      <c r="A48" s="106" t="s">
        <v>74</v>
      </c>
      <c r="B48" s="125" t="s">
        <v>315</v>
      </c>
      <c r="C48" s="125">
        <v>40.0</v>
      </c>
      <c r="D48" s="125" t="s">
        <v>318</v>
      </c>
      <c r="E48" s="126" t="s">
        <v>4</v>
      </c>
      <c r="F48" s="125">
        <v>0.0</v>
      </c>
      <c r="G48" s="129" t="s">
        <v>17</v>
      </c>
      <c r="H48" s="125">
        <v>8.0</v>
      </c>
      <c r="I48" s="129" t="s">
        <v>17</v>
      </c>
      <c r="J48" s="125">
        <v>8.0</v>
      </c>
      <c r="K48" s="129" t="s">
        <v>17</v>
      </c>
      <c r="L48" s="125">
        <v>8.0</v>
      </c>
      <c r="M48" s="129" t="s">
        <v>17</v>
      </c>
      <c r="N48" s="125">
        <v>8.0</v>
      </c>
      <c r="O48" s="129" t="s">
        <v>17</v>
      </c>
      <c r="P48" s="125">
        <v>8.0</v>
      </c>
      <c r="Q48" s="126" t="s">
        <v>4</v>
      </c>
      <c r="R48" s="125">
        <v>0.0</v>
      </c>
      <c r="S48" s="125">
        <v>40.0</v>
      </c>
    </row>
    <row r="49">
      <c r="A49" s="106" t="s">
        <v>84</v>
      </c>
      <c r="B49" s="125" t="s">
        <v>317</v>
      </c>
      <c r="C49" s="125">
        <v>40.0</v>
      </c>
      <c r="D49" s="125" t="s">
        <v>85</v>
      </c>
      <c r="E49" s="80" t="s">
        <v>51</v>
      </c>
      <c r="F49" s="125">
        <v>8.0</v>
      </c>
      <c r="G49" s="80" t="s">
        <v>51</v>
      </c>
      <c r="H49" s="125">
        <v>8.0</v>
      </c>
      <c r="I49" s="126" t="s">
        <v>4</v>
      </c>
      <c r="J49" s="125">
        <v>0.0</v>
      </c>
      <c r="K49" s="80" t="s">
        <v>51</v>
      </c>
      <c r="L49" s="125">
        <v>8.0</v>
      </c>
      <c r="M49" s="80" t="s">
        <v>51</v>
      </c>
      <c r="N49" s="125">
        <v>8.0</v>
      </c>
      <c r="O49" s="80" t="s">
        <v>51</v>
      </c>
      <c r="P49" s="125">
        <v>8.0</v>
      </c>
      <c r="Q49" s="126" t="s">
        <v>4</v>
      </c>
      <c r="R49" s="125">
        <v>0.0</v>
      </c>
      <c r="S49" s="125">
        <v>40.0</v>
      </c>
    </row>
    <row r="50">
      <c r="A50" s="106" t="s">
        <v>98</v>
      </c>
      <c r="B50" s="125" t="s">
        <v>317</v>
      </c>
      <c r="C50" s="125">
        <v>40.0</v>
      </c>
      <c r="D50" s="108" t="s">
        <v>319</v>
      </c>
      <c r="E50" s="90" t="s">
        <v>51</v>
      </c>
      <c r="F50" s="125">
        <v>8.0</v>
      </c>
      <c r="G50" s="130" t="s">
        <v>4</v>
      </c>
      <c r="H50" s="125">
        <v>0.0</v>
      </c>
      <c r="I50" s="90" t="s">
        <v>51</v>
      </c>
      <c r="J50" s="125">
        <v>8.0</v>
      </c>
      <c r="K50" s="90" t="s">
        <v>51</v>
      </c>
      <c r="L50" s="125">
        <v>8.0</v>
      </c>
      <c r="M50" s="90" t="s">
        <v>51</v>
      </c>
      <c r="N50" s="125">
        <v>8.0</v>
      </c>
      <c r="O50" s="90" t="s">
        <v>51</v>
      </c>
      <c r="P50" s="125">
        <v>8.0</v>
      </c>
      <c r="Q50" s="130" t="s">
        <v>4</v>
      </c>
      <c r="R50" s="213">
        <v>0.0</v>
      </c>
      <c r="S50" s="213">
        <v>40.0</v>
      </c>
    </row>
    <row r="51">
      <c r="A51" s="106" t="s">
        <v>80</v>
      </c>
      <c r="B51" s="125" t="s">
        <v>315</v>
      </c>
      <c r="C51" s="125">
        <v>40.0</v>
      </c>
      <c r="D51" s="125" t="s">
        <v>81</v>
      </c>
      <c r="E51" s="129" t="s">
        <v>64</v>
      </c>
      <c r="F51" s="125">
        <v>8.0</v>
      </c>
      <c r="G51" s="129" t="s">
        <v>64</v>
      </c>
      <c r="H51" s="125">
        <v>8.0</v>
      </c>
      <c r="I51" s="126" t="s">
        <v>4</v>
      </c>
      <c r="J51" s="125">
        <v>0.0</v>
      </c>
      <c r="K51" s="129" t="s">
        <v>64</v>
      </c>
      <c r="L51" s="125">
        <v>8.0</v>
      </c>
      <c r="M51" s="90" t="s">
        <v>11</v>
      </c>
      <c r="N51" s="125">
        <v>8.0</v>
      </c>
      <c r="O51" s="90" t="s">
        <v>11</v>
      </c>
      <c r="P51" s="125">
        <v>8.0</v>
      </c>
      <c r="Q51" s="130" t="s">
        <v>4</v>
      </c>
      <c r="R51" s="125">
        <v>0.0</v>
      </c>
      <c r="S51" s="125">
        <v>40.0</v>
      </c>
    </row>
    <row r="52">
      <c r="A52" s="109" t="s">
        <v>78</v>
      </c>
      <c r="B52" s="125" t="s">
        <v>314</v>
      </c>
      <c r="C52" s="125">
        <v>40.0</v>
      </c>
      <c r="D52" s="125" t="s">
        <v>79</v>
      </c>
      <c r="E52" s="90" t="s">
        <v>51</v>
      </c>
      <c r="F52" s="125">
        <v>8.0</v>
      </c>
      <c r="G52" s="90" t="s">
        <v>51</v>
      </c>
      <c r="H52" s="125">
        <v>8.0</v>
      </c>
      <c r="I52" s="90" t="s">
        <v>51</v>
      </c>
      <c r="J52" s="125">
        <v>8.0</v>
      </c>
      <c r="K52" s="126" t="s">
        <v>4</v>
      </c>
      <c r="L52" s="125">
        <v>0.0</v>
      </c>
      <c r="M52" s="90" t="s">
        <v>51</v>
      </c>
      <c r="N52" s="125">
        <v>8.0</v>
      </c>
      <c r="O52" s="90" t="s">
        <v>51</v>
      </c>
      <c r="P52" s="125">
        <v>8.0</v>
      </c>
      <c r="Q52" s="126" t="s">
        <v>4</v>
      </c>
      <c r="R52" s="125">
        <v>0.0</v>
      </c>
      <c r="S52" s="125">
        <v>40.0</v>
      </c>
    </row>
    <row r="53">
      <c r="A53" s="106" t="s">
        <v>94</v>
      </c>
      <c r="B53" s="125" t="s">
        <v>314</v>
      </c>
      <c r="C53" s="125">
        <v>40.0</v>
      </c>
      <c r="D53" s="125" t="s">
        <v>95</v>
      </c>
      <c r="E53" s="90" t="s">
        <v>36</v>
      </c>
      <c r="F53" s="125">
        <v>8.0</v>
      </c>
      <c r="G53" s="126" t="s">
        <v>4</v>
      </c>
      <c r="H53" s="125">
        <v>0.0</v>
      </c>
      <c r="I53" s="90" t="s">
        <v>36</v>
      </c>
      <c r="J53" s="125">
        <v>8.0</v>
      </c>
      <c r="K53" s="90" t="s">
        <v>36</v>
      </c>
      <c r="L53" s="125">
        <v>8.0</v>
      </c>
      <c r="M53" s="90" t="s">
        <v>36</v>
      </c>
      <c r="N53" s="125">
        <v>8.0</v>
      </c>
      <c r="O53" s="90" t="s">
        <v>36</v>
      </c>
      <c r="P53" s="125">
        <v>8.0</v>
      </c>
      <c r="Q53" s="126" t="s">
        <v>4</v>
      </c>
      <c r="R53" s="125">
        <v>0.0</v>
      </c>
      <c r="S53" s="125">
        <v>40.0</v>
      </c>
    </row>
    <row r="54">
      <c r="A54" s="113" t="s">
        <v>86</v>
      </c>
      <c r="B54" s="125" t="s">
        <v>317</v>
      </c>
      <c r="C54" s="125">
        <v>40.0</v>
      </c>
      <c r="D54" s="125" t="s">
        <v>87</v>
      </c>
      <c r="E54" s="126" t="s">
        <v>4</v>
      </c>
      <c r="F54" s="125">
        <v>0.0</v>
      </c>
      <c r="G54" s="126" t="s">
        <v>4</v>
      </c>
      <c r="H54" s="125">
        <v>0.0</v>
      </c>
      <c r="I54" s="129" t="s">
        <v>17</v>
      </c>
      <c r="J54" s="125">
        <v>8.0</v>
      </c>
      <c r="K54" s="129" t="s">
        <v>17</v>
      </c>
      <c r="L54" s="125">
        <v>8.0</v>
      </c>
      <c r="M54" s="129" t="s">
        <v>17</v>
      </c>
      <c r="N54" s="125">
        <v>8.0</v>
      </c>
      <c r="O54" s="129" t="s">
        <v>17</v>
      </c>
      <c r="P54" s="125">
        <v>8.0</v>
      </c>
      <c r="Q54" s="129" t="s">
        <v>17</v>
      </c>
      <c r="R54" s="125">
        <v>8.0</v>
      </c>
      <c r="S54" s="125">
        <v>40.0</v>
      </c>
    </row>
    <row r="55">
      <c r="S55" s="1">
        <f>SUM(S40:S54)</f>
        <v>600</v>
      </c>
    </row>
    <row r="57">
      <c r="R57" s="217" t="s">
        <v>322</v>
      </c>
      <c r="S57" s="218">
        <f>S19+S37+S55</f>
        <v>1624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3" max="3" width="24.86"/>
    <col customWidth="1" min="5" max="5" width="24.86"/>
    <col customWidth="1" min="7" max="7" width="24.86"/>
    <col customWidth="1" min="9" max="9" width="24.86"/>
    <col customWidth="1" min="11" max="11" width="24.86"/>
    <col customWidth="1" min="13" max="13" width="24.86"/>
    <col customWidth="1" min="15" max="15" width="24.86"/>
    <col customWidth="1" min="18" max="18" width="26.14"/>
  </cols>
  <sheetData>
    <row r="2">
      <c r="A2" s="216" t="s">
        <v>313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</row>
    <row r="3">
      <c r="A3" s="103" t="s">
        <v>65</v>
      </c>
      <c r="B3" s="206" t="s">
        <v>68</v>
      </c>
      <c r="C3" s="103" t="s">
        <v>110</v>
      </c>
      <c r="D3" s="207"/>
      <c r="E3" s="103" t="s">
        <v>111</v>
      </c>
      <c r="F3" s="207"/>
      <c r="G3" s="103" t="s">
        <v>112</v>
      </c>
      <c r="H3" s="207"/>
      <c r="I3" s="103" t="s">
        <v>113</v>
      </c>
      <c r="J3" s="207"/>
      <c r="K3" s="103" t="s">
        <v>114</v>
      </c>
      <c r="L3" s="207"/>
      <c r="M3" s="103" t="s">
        <v>115</v>
      </c>
      <c r="N3" s="207"/>
      <c r="O3" s="103" t="s">
        <v>116</v>
      </c>
      <c r="P3" s="208"/>
      <c r="Q3" s="103" t="s">
        <v>107</v>
      </c>
    </row>
    <row r="4">
      <c r="A4" s="106" t="s">
        <v>82</v>
      </c>
      <c r="B4" s="125" t="s">
        <v>83</v>
      </c>
      <c r="C4" s="90" t="s">
        <v>51</v>
      </c>
      <c r="D4" s="125">
        <v>8.0</v>
      </c>
      <c r="E4" s="90" t="s">
        <v>51</v>
      </c>
      <c r="F4" s="125">
        <v>8.0</v>
      </c>
      <c r="G4" s="126" t="s">
        <v>4</v>
      </c>
      <c r="H4" s="125">
        <v>0.0</v>
      </c>
      <c r="I4" s="90" t="s">
        <v>51</v>
      </c>
      <c r="J4" s="125">
        <v>8.0</v>
      </c>
      <c r="K4" s="90" t="s">
        <v>51</v>
      </c>
      <c r="L4" s="125">
        <v>8.0</v>
      </c>
      <c r="M4" s="90" t="s">
        <v>51</v>
      </c>
      <c r="N4" s="125">
        <v>8.0</v>
      </c>
      <c r="O4" s="130" t="s">
        <v>4</v>
      </c>
      <c r="P4" s="125">
        <v>0.0</v>
      </c>
      <c r="Q4" s="125">
        <f t="shared" ref="Q4:Q18" si="1">D4+F4+H4+J4+L4++N4+P4</f>
        <v>40</v>
      </c>
    </row>
    <row r="5">
      <c r="A5" s="109" t="s">
        <v>90</v>
      </c>
      <c r="B5" s="125" t="s">
        <v>108</v>
      </c>
      <c r="C5" s="130" t="s">
        <v>4</v>
      </c>
      <c r="D5" s="125">
        <v>0.0</v>
      </c>
      <c r="E5" s="80" t="s">
        <v>51</v>
      </c>
      <c r="F5" s="125">
        <v>8.0</v>
      </c>
      <c r="G5" s="80" t="s">
        <v>51</v>
      </c>
      <c r="H5" s="125">
        <v>8.0</v>
      </c>
      <c r="I5" s="80" t="s">
        <v>51</v>
      </c>
      <c r="J5" s="125">
        <v>8.0</v>
      </c>
      <c r="K5" s="80" t="s">
        <v>51</v>
      </c>
      <c r="L5" s="125">
        <v>8.0</v>
      </c>
      <c r="M5" s="80" t="s">
        <v>51</v>
      </c>
      <c r="N5" s="125">
        <v>8.0</v>
      </c>
      <c r="O5" s="126" t="s">
        <v>4</v>
      </c>
      <c r="P5" s="125">
        <v>0.0</v>
      </c>
      <c r="Q5" s="125">
        <f t="shared" si="1"/>
        <v>40</v>
      </c>
    </row>
    <row r="6">
      <c r="A6" s="109" t="s">
        <v>88</v>
      </c>
      <c r="B6" s="125" t="s">
        <v>89</v>
      </c>
      <c r="C6" s="90" t="s">
        <v>51</v>
      </c>
      <c r="D6" s="125">
        <v>8.0</v>
      </c>
      <c r="E6" s="126" t="s">
        <v>4</v>
      </c>
      <c r="F6" s="125">
        <v>0.0</v>
      </c>
      <c r="G6" s="90" t="s">
        <v>51</v>
      </c>
      <c r="H6" s="125">
        <v>8.0</v>
      </c>
      <c r="I6" s="90" t="s">
        <v>51</v>
      </c>
      <c r="J6" s="125">
        <v>8.0</v>
      </c>
      <c r="K6" s="90" t="s">
        <v>51</v>
      </c>
      <c r="L6" s="125">
        <v>8.0</v>
      </c>
      <c r="M6" s="90" t="s">
        <v>51</v>
      </c>
      <c r="N6" s="125">
        <v>8.0</v>
      </c>
      <c r="O6" s="126" t="s">
        <v>4</v>
      </c>
      <c r="P6" s="125">
        <v>0.0</v>
      </c>
      <c r="Q6" s="125">
        <f t="shared" si="1"/>
        <v>40</v>
      </c>
    </row>
    <row r="7">
      <c r="A7" s="106" t="s">
        <v>70</v>
      </c>
      <c r="B7" s="125" t="s">
        <v>71</v>
      </c>
      <c r="C7" s="210"/>
      <c r="D7" s="125">
        <v>0.0</v>
      </c>
      <c r="E7" s="80" t="s">
        <v>51</v>
      </c>
      <c r="F7" s="125">
        <v>8.0</v>
      </c>
      <c r="G7" s="80" t="s">
        <v>51</v>
      </c>
      <c r="H7" s="125">
        <v>8.0</v>
      </c>
      <c r="I7" s="80" t="s">
        <v>51</v>
      </c>
      <c r="J7" s="125">
        <v>8.0</v>
      </c>
      <c r="K7" s="80" t="s">
        <v>51</v>
      </c>
      <c r="L7" s="125">
        <v>8.0</v>
      </c>
      <c r="M7" s="80" t="s">
        <v>51</v>
      </c>
      <c r="N7" s="125">
        <v>8.0</v>
      </c>
      <c r="O7" s="211" t="s">
        <v>4</v>
      </c>
      <c r="P7" s="108">
        <v>0.0</v>
      </c>
      <c r="Q7" s="125">
        <f t="shared" si="1"/>
        <v>40</v>
      </c>
    </row>
    <row r="8">
      <c r="A8" s="106" t="s">
        <v>72</v>
      </c>
      <c r="B8" s="125" t="s">
        <v>73</v>
      </c>
      <c r="C8" s="210"/>
      <c r="D8" s="125">
        <v>0.0</v>
      </c>
      <c r="E8" s="212"/>
      <c r="F8" s="125">
        <v>0.0</v>
      </c>
      <c r="G8" s="212"/>
      <c r="H8" s="125">
        <v>0.0</v>
      </c>
      <c r="I8" s="212"/>
      <c r="J8" s="125">
        <v>0.0</v>
      </c>
      <c r="K8" s="90" t="s">
        <v>51</v>
      </c>
      <c r="L8" s="125">
        <v>8.0</v>
      </c>
      <c r="M8" s="90" t="s">
        <v>51</v>
      </c>
      <c r="N8" s="125">
        <v>8.0</v>
      </c>
      <c r="O8" s="126" t="s">
        <v>4</v>
      </c>
      <c r="P8" s="125">
        <v>0.0</v>
      </c>
      <c r="Q8" s="125">
        <f t="shared" si="1"/>
        <v>16</v>
      </c>
    </row>
    <row r="9">
      <c r="A9" s="106" t="s">
        <v>96</v>
      </c>
      <c r="B9" s="125" t="s">
        <v>97</v>
      </c>
      <c r="C9" s="214"/>
      <c r="D9" s="125">
        <v>0.0</v>
      </c>
      <c r="E9" s="214"/>
      <c r="F9" s="125">
        <v>0.0</v>
      </c>
      <c r="G9" s="126" t="s">
        <v>4</v>
      </c>
      <c r="H9" s="125">
        <v>0.0</v>
      </c>
      <c r="I9" s="80" t="s">
        <v>51</v>
      </c>
      <c r="J9" s="125">
        <v>8.0</v>
      </c>
      <c r="K9" s="80" t="s">
        <v>51</v>
      </c>
      <c r="L9" s="125">
        <v>8.0</v>
      </c>
      <c r="M9" s="80" t="s">
        <v>51</v>
      </c>
      <c r="N9" s="125">
        <v>8.0</v>
      </c>
      <c r="O9" s="130" t="s">
        <v>4</v>
      </c>
      <c r="P9" s="125">
        <v>0.0</v>
      </c>
      <c r="Q9" s="125">
        <f t="shared" si="1"/>
        <v>24</v>
      </c>
    </row>
    <row r="10">
      <c r="A10" s="106" t="s">
        <v>92</v>
      </c>
      <c r="B10" s="125" t="s">
        <v>93</v>
      </c>
      <c r="C10" s="214"/>
      <c r="D10" s="125">
        <v>0.0</v>
      </c>
      <c r="E10" s="212"/>
      <c r="F10" s="125">
        <v>0.0</v>
      </c>
      <c r="G10" s="214"/>
      <c r="H10" s="125">
        <v>0.0</v>
      </c>
      <c r="I10" s="214"/>
      <c r="J10" s="125">
        <v>0.0</v>
      </c>
      <c r="K10" s="80" t="s">
        <v>51</v>
      </c>
      <c r="L10" s="125">
        <v>8.0</v>
      </c>
      <c r="M10" s="80" t="s">
        <v>51</v>
      </c>
      <c r="N10" s="125">
        <v>8.0</v>
      </c>
      <c r="O10" s="126" t="s">
        <v>4</v>
      </c>
      <c r="P10" s="125">
        <v>0.0</v>
      </c>
      <c r="Q10" s="125">
        <f t="shared" si="1"/>
        <v>16</v>
      </c>
    </row>
    <row r="11">
      <c r="A11" s="113" t="s">
        <v>76</v>
      </c>
      <c r="B11" s="125" t="s">
        <v>77</v>
      </c>
      <c r="C11" s="215"/>
      <c r="D11" s="125">
        <v>0.0</v>
      </c>
      <c r="E11" s="215"/>
      <c r="F11" s="125">
        <v>0.0</v>
      </c>
      <c r="G11" s="80" t="s">
        <v>51</v>
      </c>
      <c r="H11" s="125">
        <v>8.0</v>
      </c>
      <c r="I11" s="80" t="s">
        <v>51</v>
      </c>
      <c r="J11" s="125">
        <v>8.0</v>
      </c>
      <c r="K11" s="80" t="s">
        <v>51</v>
      </c>
      <c r="L11" s="125">
        <v>8.0</v>
      </c>
      <c r="M11" s="80" t="s">
        <v>51</v>
      </c>
      <c r="N11" s="125">
        <v>8.0</v>
      </c>
      <c r="O11" s="126" t="s">
        <v>4</v>
      </c>
      <c r="P11" s="125">
        <v>0.0</v>
      </c>
      <c r="Q11" s="125">
        <f t="shared" si="1"/>
        <v>32</v>
      </c>
    </row>
    <row r="12">
      <c r="A12" s="106" t="s">
        <v>74</v>
      </c>
      <c r="B12" s="125" t="s">
        <v>318</v>
      </c>
      <c r="C12" s="215"/>
      <c r="D12" s="125">
        <v>0.0</v>
      </c>
      <c r="E12" s="215"/>
      <c r="F12" s="125">
        <v>0.0</v>
      </c>
      <c r="G12" s="129" t="s">
        <v>17</v>
      </c>
      <c r="H12" s="125">
        <v>8.0</v>
      </c>
      <c r="I12" s="129" t="s">
        <v>17</v>
      </c>
      <c r="J12" s="125">
        <v>8.0</v>
      </c>
      <c r="K12" s="129" t="s">
        <v>17</v>
      </c>
      <c r="L12" s="125">
        <v>8.0</v>
      </c>
      <c r="M12" s="129" t="s">
        <v>17</v>
      </c>
      <c r="N12" s="125">
        <v>8.0</v>
      </c>
      <c r="O12" s="126" t="s">
        <v>4</v>
      </c>
      <c r="P12" s="125">
        <v>0.0</v>
      </c>
      <c r="Q12" s="125">
        <f t="shared" si="1"/>
        <v>32</v>
      </c>
    </row>
    <row r="13">
      <c r="A13" s="106" t="s">
        <v>84</v>
      </c>
      <c r="B13" s="125" t="s">
        <v>85</v>
      </c>
      <c r="C13" s="80" t="s">
        <v>51</v>
      </c>
      <c r="D13" s="125">
        <v>8.0</v>
      </c>
      <c r="E13" s="80" t="s">
        <v>51</v>
      </c>
      <c r="F13" s="125">
        <v>8.0</v>
      </c>
      <c r="G13" s="126" t="s">
        <v>4</v>
      </c>
      <c r="H13" s="125">
        <v>0.0</v>
      </c>
      <c r="I13" s="80" t="s">
        <v>51</v>
      </c>
      <c r="J13" s="125">
        <v>8.0</v>
      </c>
      <c r="K13" s="80" t="s">
        <v>51</v>
      </c>
      <c r="L13" s="125">
        <v>8.0</v>
      </c>
      <c r="M13" s="80" t="s">
        <v>51</v>
      </c>
      <c r="N13" s="125">
        <v>8.0</v>
      </c>
      <c r="O13" s="126" t="s">
        <v>4</v>
      </c>
      <c r="P13" s="125">
        <v>0.0</v>
      </c>
      <c r="Q13" s="125">
        <f t="shared" si="1"/>
        <v>40</v>
      </c>
    </row>
    <row r="14">
      <c r="A14" s="106" t="s">
        <v>98</v>
      </c>
      <c r="B14" s="108" t="s">
        <v>319</v>
      </c>
      <c r="C14" s="212"/>
      <c r="D14" s="125">
        <v>0.0</v>
      </c>
      <c r="E14" s="212"/>
      <c r="F14" s="125">
        <v>0.0</v>
      </c>
      <c r="G14" s="90" t="s">
        <v>51</v>
      </c>
      <c r="H14" s="125">
        <v>8.0</v>
      </c>
      <c r="I14" s="90" t="s">
        <v>51</v>
      </c>
      <c r="J14" s="125">
        <v>8.0</v>
      </c>
      <c r="K14" s="90" t="s">
        <v>51</v>
      </c>
      <c r="L14" s="125">
        <v>8.0</v>
      </c>
      <c r="M14" s="90" t="s">
        <v>51</v>
      </c>
      <c r="N14" s="125">
        <v>8.0</v>
      </c>
      <c r="O14" s="130" t="s">
        <v>4</v>
      </c>
      <c r="P14" s="213">
        <v>0.0</v>
      </c>
      <c r="Q14" s="125">
        <f t="shared" si="1"/>
        <v>32</v>
      </c>
    </row>
    <row r="15">
      <c r="A15" s="106" t="s">
        <v>80</v>
      </c>
      <c r="B15" s="125" t="s">
        <v>81</v>
      </c>
      <c r="C15" s="215"/>
      <c r="D15" s="125">
        <v>0.0</v>
      </c>
      <c r="E15" s="215"/>
      <c r="F15" s="125">
        <v>0.0</v>
      </c>
      <c r="G15" s="215"/>
      <c r="H15" s="125">
        <v>0.0</v>
      </c>
      <c r="I15" s="215"/>
      <c r="J15" s="125">
        <v>0.0</v>
      </c>
      <c r="K15" s="90" t="s">
        <v>11</v>
      </c>
      <c r="L15" s="125">
        <v>8.0</v>
      </c>
      <c r="M15" s="90" t="s">
        <v>11</v>
      </c>
      <c r="N15" s="125">
        <v>8.0</v>
      </c>
      <c r="O15" s="130" t="s">
        <v>4</v>
      </c>
      <c r="P15" s="125">
        <v>0.0</v>
      </c>
      <c r="Q15" s="125">
        <f t="shared" si="1"/>
        <v>16</v>
      </c>
    </row>
    <row r="16">
      <c r="A16" s="109" t="s">
        <v>78</v>
      </c>
      <c r="B16" s="125" t="s">
        <v>79</v>
      </c>
      <c r="C16" s="212"/>
      <c r="D16" s="125">
        <v>0.0</v>
      </c>
      <c r="E16" s="212"/>
      <c r="F16" s="125">
        <v>0.0</v>
      </c>
      <c r="G16" s="215"/>
      <c r="H16" s="125">
        <v>0.0</v>
      </c>
      <c r="I16" s="212"/>
      <c r="J16" s="125">
        <v>0.0</v>
      </c>
      <c r="K16" s="90" t="s">
        <v>51</v>
      </c>
      <c r="L16" s="125">
        <v>8.0</v>
      </c>
      <c r="M16" s="90" t="s">
        <v>51</v>
      </c>
      <c r="N16" s="125">
        <v>8.0</v>
      </c>
      <c r="O16" s="126" t="s">
        <v>4</v>
      </c>
      <c r="P16" s="125">
        <v>0.0</v>
      </c>
      <c r="Q16" s="125">
        <f t="shared" si="1"/>
        <v>16</v>
      </c>
    </row>
    <row r="17">
      <c r="A17" s="106" t="s">
        <v>94</v>
      </c>
      <c r="B17" s="125" t="s">
        <v>95</v>
      </c>
      <c r="C17" s="212"/>
      <c r="D17" s="125">
        <v>0.0</v>
      </c>
      <c r="E17" s="215"/>
      <c r="F17" s="125">
        <v>0.0</v>
      </c>
      <c r="G17" s="212"/>
      <c r="H17" s="125">
        <v>0.0</v>
      </c>
      <c r="I17" s="212"/>
      <c r="J17" s="125">
        <v>0.0</v>
      </c>
      <c r="K17" s="90" t="s">
        <v>36</v>
      </c>
      <c r="L17" s="125">
        <v>8.0</v>
      </c>
      <c r="M17" s="90" t="s">
        <v>36</v>
      </c>
      <c r="N17" s="125">
        <v>8.0</v>
      </c>
      <c r="O17" s="126" t="s">
        <v>4</v>
      </c>
      <c r="P17" s="125">
        <v>0.0</v>
      </c>
      <c r="Q17" s="125">
        <f t="shared" si="1"/>
        <v>16</v>
      </c>
    </row>
    <row r="18">
      <c r="A18" s="106" t="s">
        <v>323</v>
      </c>
      <c r="B18" s="125" t="s">
        <v>87</v>
      </c>
      <c r="C18" s="212"/>
      <c r="D18" s="125">
        <v>0.0</v>
      </c>
      <c r="E18" s="215"/>
      <c r="F18" s="125">
        <v>0.0</v>
      </c>
      <c r="G18" s="212"/>
      <c r="H18" s="125">
        <v>0.0</v>
      </c>
      <c r="I18" s="212"/>
      <c r="J18" s="125">
        <v>0.0</v>
      </c>
      <c r="K18" s="90" t="s">
        <v>36</v>
      </c>
      <c r="L18" s="125">
        <v>8.0</v>
      </c>
      <c r="M18" s="90" t="s">
        <v>36</v>
      </c>
      <c r="N18" s="125">
        <v>8.0</v>
      </c>
      <c r="O18" s="90" t="s">
        <v>36</v>
      </c>
      <c r="P18" s="125">
        <v>8.0</v>
      </c>
      <c r="Q18" s="125">
        <f t="shared" si="1"/>
        <v>24</v>
      </c>
    </row>
    <row r="19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>
        <f>SUM(Q4:Q18)</f>
        <v>424</v>
      </c>
      <c r="R19" s="102"/>
      <c r="S19" s="102"/>
    </row>
    <row r="20">
      <c r="A20" s="100" t="s">
        <v>320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</row>
    <row r="21">
      <c r="A21" s="103" t="s">
        <v>65</v>
      </c>
      <c r="B21" s="205" t="s">
        <v>66</v>
      </c>
      <c r="C21" s="103" t="s">
        <v>100</v>
      </c>
      <c r="D21" s="207"/>
      <c r="E21" s="103" t="s">
        <v>101</v>
      </c>
      <c r="F21" s="207"/>
      <c r="G21" s="103" t="s">
        <v>102</v>
      </c>
      <c r="H21" s="207"/>
      <c r="I21" s="103" t="s">
        <v>103</v>
      </c>
      <c r="J21" s="207"/>
      <c r="K21" s="103" t="s">
        <v>104</v>
      </c>
      <c r="L21" s="207"/>
      <c r="M21" s="103" t="s">
        <v>105</v>
      </c>
      <c r="N21" s="207"/>
      <c r="O21" s="103" t="s">
        <v>106</v>
      </c>
      <c r="P21" s="208"/>
      <c r="Q21" s="103" t="s">
        <v>107</v>
      </c>
      <c r="R21" s="102"/>
      <c r="S21" s="102"/>
    </row>
    <row r="22">
      <c r="A22" s="106" t="s">
        <v>82</v>
      </c>
      <c r="B22" s="125" t="s">
        <v>314</v>
      </c>
      <c r="C22" s="90" t="s">
        <v>51</v>
      </c>
      <c r="D22" s="125">
        <v>8.0</v>
      </c>
      <c r="E22" s="90" t="s">
        <v>51</v>
      </c>
      <c r="F22" s="125">
        <v>8.0</v>
      </c>
      <c r="G22" s="126" t="s">
        <v>4</v>
      </c>
      <c r="H22" s="125">
        <v>0.0</v>
      </c>
      <c r="I22" s="90" t="s">
        <v>324</v>
      </c>
      <c r="J22" s="125">
        <v>0.0</v>
      </c>
      <c r="K22" s="90" t="s">
        <v>324</v>
      </c>
      <c r="L22" s="125">
        <v>0.0</v>
      </c>
      <c r="M22" s="90" t="s">
        <v>324</v>
      </c>
      <c r="N22" s="125">
        <v>0.0</v>
      </c>
      <c r="O22" s="130" t="s">
        <v>4</v>
      </c>
      <c r="P22" s="125">
        <v>0.0</v>
      </c>
      <c r="Q22" s="125">
        <f>D22+F22+H22</f>
        <v>16</v>
      </c>
      <c r="R22" s="102"/>
      <c r="S22" s="102"/>
    </row>
    <row r="23">
      <c r="A23" s="109" t="s">
        <v>90</v>
      </c>
      <c r="B23" s="125" t="s">
        <v>315</v>
      </c>
      <c r="C23" s="130" t="s">
        <v>4</v>
      </c>
      <c r="D23" s="125">
        <v>0.0</v>
      </c>
      <c r="E23" s="80" t="s">
        <v>51</v>
      </c>
      <c r="F23" s="125">
        <v>8.0</v>
      </c>
      <c r="G23" s="80" t="s">
        <v>51</v>
      </c>
      <c r="H23" s="125">
        <v>8.0</v>
      </c>
      <c r="I23" s="80" t="s">
        <v>51</v>
      </c>
      <c r="J23" s="125">
        <v>8.0</v>
      </c>
      <c r="K23" s="80" t="s">
        <v>51</v>
      </c>
      <c r="L23" s="125">
        <v>8.0</v>
      </c>
      <c r="M23" s="80" t="s">
        <v>51</v>
      </c>
      <c r="N23" s="125">
        <v>8.0</v>
      </c>
      <c r="O23" s="126" t="s">
        <v>4</v>
      </c>
      <c r="P23" s="125">
        <v>0.0</v>
      </c>
      <c r="Q23" s="125">
        <f t="shared" ref="Q23:Q36" si="2">D23+F23+H23+J23+L23+N23+P23</f>
        <v>40</v>
      </c>
      <c r="R23" s="102"/>
      <c r="S23" s="102"/>
    </row>
    <row r="24">
      <c r="A24" s="109" t="s">
        <v>88</v>
      </c>
      <c r="B24" s="125" t="s">
        <v>315</v>
      </c>
      <c r="C24" s="90" t="s">
        <v>36</v>
      </c>
      <c r="D24" s="125">
        <v>8.0</v>
      </c>
      <c r="E24" s="126" t="s">
        <v>4</v>
      </c>
      <c r="F24" s="125">
        <v>0.0</v>
      </c>
      <c r="G24" s="90" t="s">
        <v>36</v>
      </c>
      <c r="H24" s="125">
        <v>8.0</v>
      </c>
      <c r="I24" s="90" t="s">
        <v>36</v>
      </c>
      <c r="J24" s="125">
        <v>8.0</v>
      </c>
      <c r="K24" s="90" t="s">
        <v>36</v>
      </c>
      <c r="L24" s="125">
        <v>8.0</v>
      </c>
      <c r="M24" s="90" t="s">
        <v>36</v>
      </c>
      <c r="N24" s="125">
        <v>8.0</v>
      </c>
      <c r="O24" s="126" t="s">
        <v>4</v>
      </c>
      <c r="P24" s="125">
        <v>0.0</v>
      </c>
      <c r="Q24" s="125">
        <f t="shared" si="2"/>
        <v>40</v>
      </c>
      <c r="R24" s="102"/>
      <c r="S24" s="102"/>
    </row>
    <row r="25">
      <c r="A25" s="106" t="s">
        <v>70</v>
      </c>
      <c r="B25" s="125" t="s">
        <v>316</v>
      </c>
      <c r="C25" s="211" t="s">
        <v>4</v>
      </c>
      <c r="D25" s="125">
        <v>0.0</v>
      </c>
      <c r="E25" s="80" t="s">
        <v>51</v>
      </c>
      <c r="F25" s="125">
        <v>8.0</v>
      </c>
      <c r="G25" s="80" t="s">
        <v>51</v>
      </c>
      <c r="H25" s="125">
        <v>8.0</v>
      </c>
      <c r="I25" s="80" t="s">
        <v>51</v>
      </c>
      <c r="J25" s="125">
        <v>8.0</v>
      </c>
      <c r="K25" s="80" t="s">
        <v>51</v>
      </c>
      <c r="L25" s="125">
        <v>8.0</v>
      </c>
      <c r="M25" s="80" t="s">
        <v>51</v>
      </c>
      <c r="N25" s="125">
        <v>8.0</v>
      </c>
      <c r="O25" s="211" t="s">
        <v>4</v>
      </c>
      <c r="P25" s="108">
        <v>0.0</v>
      </c>
      <c r="Q25" s="125">
        <f t="shared" si="2"/>
        <v>40</v>
      </c>
      <c r="R25" s="102"/>
      <c r="S25" s="102"/>
    </row>
    <row r="26">
      <c r="A26" s="106" t="s">
        <v>72</v>
      </c>
      <c r="B26" s="125" t="s">
        <v>315</v>
      </c>
      <c r="C26" s="211" t="s">
        <v>4</v>
      </c>
      <c r="D26" s="125">
        <v>0.0</v>
      </c>
      <c r="E26" s="90" t="s">
        <v>51</v>
      </c>
      <c r="F26" s="125">
        <v>8.0</v>
      </c>
      <c r="G26" s="90" t="s">
        <v>51</v>
      </c>
      <c r="H26" s="125">
        <v>8.0</v>
      </c>
      <c r="I26" s="90" t="s">
        <v>51</v>
      </c>
      <c r="J26" s="125">
        <v>8.0</v>
      </c>
      <c r="K26" s="90" t="s">
        <v>51</v>
      </c>
      <c r="L26" s="125">
        <v>8.0</v>
      </c>
      <c r="M26" s="90" t="s">
        <v>51</v>
      </c>
      <c r="N26" s="125">
        <v>8.0</v>
      </c>
      <c r="O26" s="126" t="s">
        <v>4</v>
      </c>
      <c r="P26" s="125">
        <v>0.0</v>
      </c>
      <c r="Q26" s="125">
        <f t="shared" si="2"/>
        <v>40</v>
      </c>
      <c r="R26" s="102"/>
      <c r="S26" s="102"/>
    </row>
    <row r="27">
      <c r="A27" s="106" t="s">
        <v>96</v>
      </c>
      <c r="B27" s="125" t="s">
        <v>317</v>
      </c>
      <c r="C27" s="80" t="s">
        <v>51</v>
      </c>
      <c r="D27" s="125">
        <v>8.0</v>
      </c>
      <c r="E27" s="80" t="s">
        <v>51</v>
      </c>
      <c r="F27" s="125">
        <v>8.0</v>
      </c>
      <c r="G27" s="126" t="s">
        <v>4</v>
      </c>
      <c r="H27" s="125">
        <v>0.0</v>
      </c>
      <c r="I27" s="80" t="s">
        <v>51</v>
      </c>
      <c r="J27" s="125">
        <v>8.0</v>
      </c>
      <c r="K27" s="80" t="s">
        <v>51</v>
      </c>
      <c r="L27" s="125">
        <v>8.0</v>
      </c>
      <c r="M27" s="80" t="s">
        <v>51</v>
      </c>
      <c r="N27" s="125">
        <v>8.0</v>
      </c>
      <c r="O27" s="130" t="s">
        <v>4</v>
      </c>
      <c r="P27" s="125">
        <v>0.0</v>
      </c>
      <c r="Q27" s="125">
        <f t="shared" si="2"/>
        <v>40</v>
      </c>
      <c r="R27" s="102"/>
      <c r="S27" s="102"/>
    </row>
    <row r="28">
      <c r="A28" s="106" t="s">
        <v>92</v>
      </c>
      <c r="B28" s="125" t="s">
        <v>316</v>
      </c>
      <c r="C28" s="80" t="s">
        <v>51</v>
      </c>
      <c r="D28" s="125">
        <v>8.0</v>
      </c>
      <c r="E28" s="130" t="s">
        <v>4</v>
      </c>
      <c r="F28" s="125">
        <v>0.0</v>
      </c>
      <c r="G28" s="80" t="s">
        <v>51</v>
      </c>
      <c r="H28" s="125">
        <v>8.0</v>
      </c>
      <c r="I28" s="80" t="s">
        <v>51</v>
      </c>
      <c r="J28" s="125">
        <v>8.0</v>
      </c>
      <c r="K28" s="80" t="s">
        <v>51</v>
      </c>
      <c r="L28" s="125">
        <v>8.0</v>
      </c>
      <c r="M28" s="80" t="s">
        <v>51</v>
      </c>
      <c r="N28" s="125">
        <v>8.0</v>
      </c>
      <c r="O28" s="126" t="s">
        <v>4</v>
      </c>
      <c r="P28" s="125">
        <v>0.0</v>
      </c>
      <c r="Q28" s="125">
        <f t="shared" si="2"/>
        <v>40</v>
      </c>
      <c r="R28" s="102"/>
      <c r="S28" s="102"/>
    </row>
    <row r="29">
      <c r="A29" s="113" t="s">
        <v>76</v>
      </c>
      <c r="B29" s="125" t="s">
        <v>317</v>
      </c>
      <c r="C29" s="126" t="s">
        <v>4</v>
      </c>
      <c r="D29" s="125">
        <v>0.0</v>
      </c>
      <c r="E29" s="126" t="s">
        <v>4</v>
      </c>
      <c r="F29" s="125">
        <v>0.0</v>
      </c>
      <c r="G29" s="80" t="s">
        <v>51</v>
      </c>
      <c r="H29" s="125">
        <v>8.0</v>
      </c>
      <c r="I29" s="80" t="s">
        <v>51</v>
      </c>
      <c r="J29" s="125">
        <v>8.0</v>
      </c>
      <c r="K29" s="80" t="s">
        <v>51</v>
      </c>
      <c r="L29" s="125">
        <v>8.0</v>
      </c>
      <c r="M29" s="80" t="s">
        <v>51</v>
      </c>
      <c r="N29" s="125">
        <v>8.0</v>
      </c>
      <c r="O29" s="80" t="s">
        <v>51</v>
      </c>
      <c r="P29" s="125">
        <v>8.0</v>
      </c>
      <c r="Q29" s="125">
        <f t="shared" si="2"/>
        <v>40</v>
      </c>
      <c r="R29" s="102"/>
      <c r="S29" s="102"/>
    </row>
    <row r="30">
      <c r="A30" s="106" t="s">
        <v>74</v>
      </c>
      <c r="B30" s="125" t="s">
        <v>315</v>
      </c>
      <c r="C30" s="126" t="s">
        <v>4</v>
      </c>
      <c r="D30" s="125">
        <v>0.0</v>
      </c>
      <c r="E30" s="129" t="s">
        <v>17</v>
      </c>
      <c r="F30" s="125">
        <v>8.0</v>
      </c>
      <c r="G30" s="129" t="s">
        <v>17</v>
      </c>
      <c r="H30" s="125">
        <v>8.0</v>
      </c>
      <c r="I30" s="129" t="s">
        <v>17</v>
      </c>
      <c r="J30" s="125">
        <v>8.0</v>
      </c>
      <c r="K30" s="129" t="s">
        <v>17</v>
      </c>
      <c r="L30" s="125">
        <v>8.0</v>
      </c>
      <c r="M30" s="129" t="s">
        <v>31</v>
      </c>
      <c r="N30" s="125">
        <v>6.0</v>
      </c>
      <c r="O30" s="126" t="s">
        <v>4</v>
      </c>
      <c r="P30" s="125">
        <v>0.0</v>
      </c>
      <c r="Q30" s="125">
        <f t="shared" si="2"/>
        <v>38</v>
      </c>
      <c r="R30" s="216" t="s">
        <v>325</v>
      </c>
    </row>
    <row r="31">
      <c r="A31" s="106" t="s">
        <v>84</v>
      </c>
      <c r="B31" s="125" t="s">
        <v>317</v>
      </c>
      <c r="C31" s="80" t="s">
        <v>51</v>
      </c>
      <c r="D31" s="125">
        <v>8.0</v>
      </c>
      <c r="E31" s="80" t="s">
        <v>51</v>
      </c>
      <c r="F31" s="125">
        <v>8.0</v>
      </c>
      <c r="G31" s="126" t="s">
        <v>4</v>
      </c>
      <c r="H31" s="125">
        <v>0.0</v>
      </c>
      <c r="I31" s="80" t="s">
        <v>51</v>
      </c>
      <c r="J31" s="125">
        <v>8.0</v>
      </c>
      <c r="K31" s="80" t="s">
        <v>51</v>
      </c>
      <c r="L31" s="125">
        <v>8.0</v>
      </c>
      <c r="M31" s="80" t="s">
        <v>51</v>
      </c>
      <c r="N31" s="125">
        <v>8.0</v>
      </c>
      <c r="O31" s="126" t="s">
        <v>4</v>
      </c>
      <c r="P31" s="125">
        <v>0.0</v>
      </c>
      <c r="Q31" s="125">
        <f t="shared" si="2"/>
        <v>40</v>
      </c>
      <c r="R31" s="102"/>
      <c r="S31" s="102"/>
    </row>
    <row r="32">
      <c r="A32" s="106" t="s">
        <v>98</v>
      </c>
      <c r="B32" s="125" t="s">
        <v>317</v>
      </c>
      <c r="C32" s="90" t="s">
        <v>51</v>
      </c>
      <c r="D32" s="125">
        <v>8.0</v>
      </c>
      <c r="E32" s="130" t="s">
        <v>4</v>
      </c>
      <c r="F32" s="125">
        <v>0.0</v>
      </c>
      <c r="G32" s="90" t="s">
        <v>51</v>
      </c>
      <c r="H32" s="125">
        <v>8.0</v>
      </c>
      <c r="I32" s="90" t="s">
        <v>51</v>
      </c>
      <c r="J32" s="125">
        <v>8.0</v>
      </c>
      <c r="K32" s="90" t="s">
        <v>51</v>
      </c>
      <c r="L32" s="125">
        <v>8.0</v>
      </c>
      <c r="M32" s="90" t="s">
        <v>51</v>
      </c>
      <c r="N32" s="125">
        <v>8.0</v>
      </c>
      <c r="O32" s="130" t="s">
        <v>4</v>
      </c>
      <c r="P32" s="213">
        <v>0.0</v>
      </c>
      <c r="Q32" s="125">
        <f t="shared" si="2"/>
        <v>40</v>
      </c>
      <c r="R32" s="102"/>
      <c r="S32" s="102"/>
    </row>
    <row r="33">
      <c r="A33" s="106" t="s">
        <v>80</v>
      </c>
      <c r="B33" s="125" t="s">
        <v>315</v>
      </c>
      <c r="C33" s="129" t="s">
        <v>64</v>
      </c>
      <c r="D33" s="125">
        <v>8.0</v>
      </c>
      <c r="E33" s="129" t="s">
        <v>64</v>
      </c>
      <c r="F33" s="125">
        <v>8.0</v>
      </c>
      <c r="G33" s="126" t="s">
        <v>4</v>
      </c>
      <c r="H33" s="125">
        <v>0.0</v>
      </c>
      <c r="I33" s="129" t="s">
        <v>64</v>
      </c>
      <c r="J33" s="125">
        <v>8.0</v>
      </c>
      <c r="K33" s="90" t="s">
        <v>11</v>
      </c>
      <c r="L33" s="125">
        <v>8.0</v>
      </c>
      <c r="M33" s="90" t="s">
        <v>326</v>
      </c>
      <c r="N33" s="125">
        <v>8.0</v>
      </c>
      <c r="O33" s="130" t="s">
        <v>4</v>
      </c>
      <c r="P33" s="125">
        <v>0.0</v>
      </c>
      <c r="Q33" s="125">
        <f t="shared" si="2"/>
        <v>40</v>
      </c>
      <c r="R33" s="216" t="s">
        <v>327</v>
      </c>
      <c r="S33" s="102"/>
    </row>
    <row r="34">
      <c r="A34" s="109" t="s">
        <v>78</v>
      </c>
      <c r="B34" s="125" t="s">
        <v>314</v>
      </c>
      <c r="C34" s="90" t="s">
        <v>51</v>
      </c>
      <c r="D34" s="125">
        <v>8.0</v>
      </c>
      <c r="E34" s="90" t="s">
        <v>51</v>
      </c>
      <c r="F34" s="125">
        <v>8.0</v>
      </c>
      <c r="G34" s="90" t="s">
        <v>51</v>
      </c>
      <c r="H34" s="125">
        <v>8.0</v>
      </c>
      <c r="I34" s="126" t="s">
        <v>4</v>
      </c>
      <c r="J34" s="125">
        <v>0.0</v>
      </c>
      <c r="K34" s="90" t="s">
        <v>51</v>
      </c>
      <c r="L34" s="125">
        <v>8.0</v>
      </c>
      <c r="M34" s="90" t="s">
        <v>51</v>
      </c>
      <c r="N34" s="125">
        <v>8.0</v>
      </c>
      <c r="O34" s="126" t="s">
        <v>4</v>
      </c>
      <c r="P34" s="125">
        <v>0.0</v>
      </c>
      <c r="Q34" s="125">
        <f t="shared" si="2"/>
        <v>40</v>
      </c>
      <c r="R34" s="102"/>
      <c r="S34" s="102"/>
    </row>
    <row r="35">
      <c r="A35" s="106" t="s">
        <v>94</v>
      </c>
      <c r="B35" s="125" t="s">
        <v>314</v>
      </c>
      <c r="C35" s="90"/>
      <c r="D35" s="125">
        <v>0.0</v>
      </c>
      <c r="E35" s="126" t="s">
        <v>4</v>
      </c>
      <c r="F35" s="125">
        <v>0.0</v>
      </c>
      <c r="G35" s="90"/>
      <c r="H35" s="125">
        <v>0.0</v>
      </c>
      <c r="I35" s="90"/>
      <c r="J35" s="125">
        <v>0.0</v>
      </c>
      <c r="K35" s="90"/>
      <c r="L35" s="125">
        <v>0.0</v>
      </c>
      <c r="M35" s="90"/>
      <c r="N35" s="125">
        <v>0.0</v>
      </c>
      <c r="O35" s="126" t="s">
        <v>4</v>
      </c>
      <c r="P35" s="125">
        <v>0.0</v>
      </c>
      <c r="Q35" s="125">
        <f t="shared" si="2"/>
        <v>0</v>
      </c>
      <c r="R35" s="102"/>
      <c r="S35" s="102"/>
    </row>
    <row r="36">
      <c r="A36" s="113" t="s">
        <v>86</v>
      </c>
      <c r="B36" s="125" t="s">
        <v>317</v>
      </c>
      <c r="C36" s="126" t="s">
        <v>4</v>
      </c>
      <c r="D36" s="125">
        <v>0.0</v>
      </c>
      <c r="E36" s="126" t="s">
        <v>4</v>
      </c>
      <c r="F36" s="125">
        <v>0.0</v>
      </c>
      <c r="G36" s="129" t="s">
        <v>17</v>
      </c>
      <c r="H36" s="125">
        <v>8.0</v>
      </c>
      <c r="I36" s="129" t="s">
        <v>17</v>
      </c>
      <c r="J36" s="125">
        <v>8.0</v>
      </c>
      <c r="K36" s="129" t="s">
        <v>17</v>
      </c>
      <c r="L36" s="125">
        <v>8.0</v>
      </c>
      <c r="M36" s="129" t="s">
        <v>17</v>
      </c>
      <c r="N36" s="125">
        <v>8.0</v>
      </c>
      <c r="O36" s="129" t="s">
        <v>17</v>
      </c>
      <c r="P36" s="125">
        <v>8.0</v>
      </c>
      <c r="Q36" s="125">
        <f t="shared" si="2"/>
        <v>40</v>
      </c>
      <c r="R36" s="102"/>
      <c r="S36" s="102"/>
    </row>
    <row r="37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25">
        <f>SUM(Q22:Q36)</f>
        <v>534</v>
      </c>
      <c r="R37" s="102"/>
      <c r="S37" s="102"/>
    </row>
    <row r="38">
      <c r="A38" s="100" t="s">
        <v>321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</row>
    <row r="39">
      <c r="A39" s="103" t="s">
        <v>65</v>
      </c>
      <c r="B39" s="205" t="s">
        <v>66</v>
      </c>
      <c r="C39" s="103" t="s">
        <v>100</v>
      </c>
      <c r="D39" s="207"/>
      <c r="E39" s="103" t="s">
        <v>101</v>
      </c>
      <c r="F39" s="207"/>
      <c r="G39" s="103" t="s">
        <v>102</v>
      </c>
      <c r="H39" s="207"/>
      <c r="I39" s="103" t="s">
        <v>103</v>
      </c>
      <c r="J39" s="207"/>
      <c r="K39" s="103" t="s">
        <v>104</v>
      </c>
      <c r="L39" s="207"/>
      <c r="M39" s="103" t="s">
        <v>105</v>
      </c>
      <c r="N39" s="207"/>
      <c r="O39" s="103" t="s">
        <v>106</v>
      </c>
      <c r="P39" s="208"/>
      <c r="Q39" s="103" t="s">
        <v>107</v>
      </c>
      <c r="R39" s="102"/>
      <c r="S39" s="102"/>
    </row>
    <row r="40">
      <c r="A40" s="106" t="s">
        <v>82</v>
      </c>
      <c r="B40" s="125" t="s">
        <v>314</v>
      </c>
      <c r="C40" s="90" t="s">
        <v>51</v>
      </c>
      <c r="D40" s="125">
        <v>8.0</v>
      </c>
      <c r="E40" s="90" t="s">
        <v>51</v>
      </c>
      <c r="F40" s="125">
        <v>8.0</v>
      </c>
      <c r="G40" s="126" t="s">
        <v>4</v>
      </c>
      <c r="H40" s="125">
        <v>0.0</v>
      </c>
      <c r="I40" s="90" t="s">
        <v>51</v>
      </c>
      <c r="J40" s="125">
        <v>8.0</v>
      </c>
      <c r="K40" s="90" t="s">
        <v>51</v>
      </c>
      <c r="L40" s="125">
        <v>8.0</v>
      </c>
      <c r="M40" s="90" t="s">
        <v>328</v>
      </c>
      <c r="N40" s="125">
        <v>3.0</v>
      </c>
      <c r="O40" s="130" t="s">
        <v>4</v>
      </c>
      <c r="P40" s="125">
        <v>0.0</v>
      </c>
      <c r="Q40" s="219">
        <f t="shared" ref="Q40:Q54" si="3">D40+F40+H40+J40+L40+N40+P40</f>
        <v>35</v>
      </c>
      <c r="R40" s="220" t="s">
        <v>329</v>
      </c>
      <c r="S40" s="102"/>
    </row>
    <row r="41">
      <c r="A41" s="109" t="s">
        <v>90</v>
      </c>
      <c r="B41" s="125" t="s">
        <v>315</v>
      </c>
      <c r="C41" s="130" t="s">
        <v>4</v>
      </c>
      <c r="D41" s="125">
        <v>0.0</v>
      </c>
      <c r="E41" s="80" t="s">
        <v>51</v>
      </c>
      <c r="F41" s="125">
        <v>8.0</v>
      </c>
      <c r="G41" s="80" t="s">
        <v>51</v>
      </c>
      <c r="H41" s="125">
        <v>8.0</v>
      </c>
      <c r="I41" s="80" t="s">
        <v>51</v>
      </c>
      <c r="J41" s="125">
        <v>8.0</v>
      </c>
      <c r="K41" s="80" t="s">
        <v>51</v>
      </c>
      <c r="L41" s="125">
        <v>8.0</v>
      </c>
      <c r="M41" s="80" t="s">
        <v>51</v>
      </c>
      <c r="N41" s="125">
        <v>8.0</v>
      </c>
      <c r="O41" s="126" t="s">
        <v>4</v>
      </c>
      <c r="P41" s="125">
        <v>0.0</v>
      </c>
      <c r="Q41" s="219">
        <f t="shared" si="3"/>
        <v>40</v>
      </c>
      <c r="R41" s="102"/>
      <c r="S41" s="102"/>
    </row>
    <row r="42">
      <c r="A42" s="109" t="s">
        <v>88</v>
      </c>
      <c r="B42" s="125" t="s">
        <v>315</v>
      </c>
      <c r="C42" s="90" t="s">
        <v>36</v>
      </c>
      <c r="D42" s="125">
        <v>8.0</v>
      </c>
      <c r="E42" s="126" t="s">
        <v>4</v>
      </c>
      <c r="F42" s="125">
        <v>0.0</v>
      </c>
      <c r="G42" s="90" t="s">
        <v>36</v>
      </c>
      <c r="H42" s="125">
        <v>8.0</v>
      </c>
      <c r="I42" s="90" t="s">
        <v>36</v>
      </c>
      <c r="J42" s="125">
        <v>8.0</v>
      </c>
      <c r="K42" s="90" t="s">
        <v>36</v>
      </c>
      <c r="L42" s="125">
        <v>8.0</v>
      </c>
      <c r="M42" s="90" t="s">
        <v>36</v>
      </c>
      <c r="N42" s="125">
        <v>8.0</v>
      </c>
      <c r="O42" s="126" t="s">
        <v>4</v>
      </c>
      <c r="P42" s="125">
        <v>0.0</v>
      </c>
      <c r="Q42" s="219">
        <f t="shared" si="3"/>
        <v>40</v>
      </c>
      <c r="R42" s="102"/>
      <c r="S42" s="102"/>
    </row>
    <row r="43">
      <c r="A43" s="106" t="s">
        <v>70</v>
      </c>
      <c r="B43" s="125" t="s">
        <v>316</v>
      </c>
      <c r="C43" s="211" t="s">
        <v>4</v>
      </c>
      <c r="D43" s="125">
        <v>0.0</v>
      </c>
      <c r="E43" s="80" t="s">
        <v>51</v>
      </c>
      <c r="F43" s="125">
        <v>8.0</v>
      </c>
      <c r="G43" s="80" t="s">
        <v>51</v>
      </c>
      <c r="H43" s="125">
        <v>8.0</v>
      </c>
      <c r="I43" s="80" t="s">
        <v>51</v>
      </c>
      <c r="J43" s="125">
        <v>8.0</v>
      </c>
      <c r="K43" s="80" t="s">
        <v>51</v>
      </c>
      <c r="L43" s="125">
        <v>8.0</v>
      </c>
      <c r="M43" s="80" t="s">
        <v>51</v>
      </c>
      <c r="N43" s="125">
        <v>8.0</v>
      </c>
      <c r="O43" s="211" t="s">
        <v>4</v>
      </c>
      <c r="P43" s="108">
        <v>0.0</v>
      </c>
      <c r="Q43" s="219">
        <f t="shared" si="3"/>
        <v>40</v>
      </c>
      <c r="R43" s="102"/>
      <c r="S43" s="102"/>
    </row>
    <row r="44">
      <c r="A44" s="106" t="s">
        <v>72</v>
      </c>
      <c r="B44" s="125" t="s">
        <v>315</v>
      </c>
      <c r="C44" s="211" t="s">
        <v>4</v>
      </c>
      <c r="D44" s="125">
        <v>0.0</v>
      </c>
      <c r="E44" s="90" t="s">
        <v>51</v>
      </c>
      <c r="F44" s="125">
        <v>8.0</v>
      </c>
      <c r="G44" s="90" t="s">
        <v>51</v>
      </c>
      <c r="H44" s="125">
        <v>8.0</v>
      </c>
      <c r="I44" s="90" t="s">
        <v>51</v>
      </c>
      <c r="J44" s="125">
        <v>8.0</v>
      </c>
      <c r="K44" s="90" t="s">
        <v>51</v>
      </c>
      <c r="L44" s="125">
        <v>8.0</v>
      </c>
      <c r="M44" s="90" t="s">
        <v>51</v>
      </c>
      <c r="N44" s="125">
        <v>8.0</v>
      </c>
      <c r="O44" s="126" t="s">
        <v>4</v>
      </c>
      <c r="P44" s="125">
        <v>0.0</v>
      </c>
      <c r="Q44" s="219">
        <f t="shared" si="3"/>
        <v>40</v>
      </c>
      <c r="R44" s="102"/>
      <c r="S44" s="102"/>
    </row>
    <row r="45">
      <c r="A45" s="106" t="s">
        <v>96</v>
      </c>
      <c r="B45" s="125" t="s">
        <v>317</v>
      </c>
      <c r="C45" s="80" t="s">
        <v>51</v>
      </c>
      <c r="D45" s="125">
        <v>8.0</v>
      </c>
      <c r="E45" s="80" t="s">
        <v>51</v>
      </c>
      <c r="F45" s="125">
        <v>8.0</v>
      </c>
      <c r="G45" s="126" t="s">
        <v>4</v>
      </c>
      <c r="H45" s="125">
        <v>0.0</v>
      </c>
      <c r="I45" s="80" t="s">
        <v>51</v>
      </c>
      <c r="J45" s="125">
        <v>8.0</v>
      </c>
      <c r="K45" s="80" t="s">
        <v>51</v>
      </c>
      <c r="L45" s="125">
        <v>8.0</v>
      </c>
      <c r="M45" s="80" t="s">
        <v>51</v>
      </c>
      <c r="N45" s="125">
        <v>8.0</v>
      </c>
      <c r="O45" s="130" t="s">
        <v>4</v>
      </c>
      <c r="P45" s="125">
        <v>0.0</v>
      </c>
      <c r="Q45" s="219">
        <f t="shared" si="3"/>
        <v>40</v>
      </c>
      <c r="R45" s="102"/>
      <c r="S45" s="102"/>
    </row>
    <row r="46">
      <c r="A46" s="106" t="s">
        <v>92</v>
      </c>
      <c r="B46" s="125" t="s">
        <v>316</v>
      </c>
      <c r="C46" s="80" t="s">
        <v>51</v>
      </c>
      <c r="D46" s="125">
        <v>8.0</v>
      </c>
      <c r="E46" s="130" t="s">
        <v>4</v>
      </c>
      <c r="F46" s="125">
        <v>0.0</v>
      </c>
      <c r="G46" s="80" t="s">
        <v>51</v>
      </c>
      <c r="H46" s="125">
        <v>8.0</v>
      </c>
      <c r="I46" s="80" t="s">
        <v>51</v>
      </c>
      <c r="J46" s="125">
        <v>8.0</v>
      </c>
      <c r="K46" s="80" t="s">
        <v>51</v>
      </c>
      <c r="L46" s="125">
        <v>8.0</v>
      </c>
      <c r="M46" s="80" t="s">
        <v>51</v>
      </c>
      <c r="N46" s="125">
        <v>8.0</v>
      </c>
      <c r="O46" s="126" t="s">
        <v>4</v>
      </c>
      <c r="P46" s="125">
        <v>0.0</v>
      </c>
      <c r="Q46" s="219">
        <f t="shared" si="3"/>
        <v>40</v>
      </c>
      <c r="R46" s="102"/>
      <c r="S46" s="102"/>
    </row>
    <row r="47">
      <c r="A47" s="113" t="s">
        <v>76</v>
      </c>
      <c r="B47" s="125" t="s">
        <v>317</v>
      </c>
      <c r="C47" s="126" t="s">
        <v>4</v>
      </c>
      <c r="D47" s="125">
        <v>0.0</v>
      </c>
      <c r="E47" s="126" t="s">
        <v>4</v>
      </c>
      <c r="F47" s="125">
        <v>0.0</v>
      </c>
      <c r="G47" s="80" t="s">
        <v>51</v>
      </c>
      <c r="H47" s="125">
        <v>8.0</v>
      </c>
      <c r="I47" s="80" t="s">
        <v>51</v>
      </c>
      <c r="J47" s="125">
        <v>8.0</v>
      </c>
      <c r="K47" s="80" t="s">
        <v>51</v>
      </c>
      <c r="L47" s="125">
        <v>8.0</v>
      </c>
      <c r="M47" s="80" t="s">
        <v>51</v>
      </c>
      <c r="N47" s="125">
        <v>8.0</v>
      </c>
      <c r="O47" s="80" t="s">
        <v>51</v>
      </c>
      <c r="P47" s="125">
        <v>8.0</v>
      </c>
      <c r="Q47" s="219">
        <f t="shared" si="3"/>
        <v>40</v>
      </c>
      <c r="R47" s="102"/>
      <c r="S47" s="102"/>
    </row>
    <row r="48">
      <c r="A48" s="106" t="s">
        <v>74</v>
      </c>
      <c r="B48" s="125" t="s">
        <v>315</v>
      </c>
      <c r="C48" s="126" t="s">
        <v>4</v>
      </c>
      <c r="D48" s="125">
        <v>0.0</v>
      </c>
      <c r="E48" s="129" t="s">
        <v>17</v>
      </c>
      <c r="F48" s="125">
        <v>8.0</v>
      </c>
      <c r="G48" s="129" t="s">
        <v>17</v>
      </c>
      <c r="H48" s="125">
        <v>8.0</v>
      </c>
      <c r="I48" s="129" t="s">
        <v>17</v>
      </c>
      <c r="J48" s="125">
        <v>8.0</v>
      </c>
      <c r="K48" s="129" t="s">
        <v>17</v>
      </c>
      <c r="L48" s="125">
        <v>8.0</v>
      </c>
      <c r="M48" s="129" t="s">
        <v>17</v>
      </c>
      <c r="N48" s="125">
        <v>8.0</v>
      </c>
      <c r="O48" s="126" t="s">
        <v>4</v>
      </c>
      <c r="P48" s="125">
        <v>0.0</v>
      </c>
      <c r="Q48" s="219">
        <f t="shared" si="3"/>
        <v>40</v>
      </c>
      <c r="R48" s="102"/>
      <c r="S48" s="102"/>
    </row>
    <row r="49">
      <c r="A49" s="106" t="s">
        <v>84</v>
      </c>
      <c r="B49" s="125" t="s">
        <v>317</v>
      </c>
      <c r="C49" s="80" t="s">
        <v>51</v>
      </c>
      <c r="D49" s="125">
        <v>8.0</v>
      </c>
      <c r="E49" s="80" t="s">
        <v>51</v>
      </c>
      <c r="F49" s="125">
        <v>8.0</v>
      </c>
      <c r="G49" s="126" t="s">
        <v>4</v>
      </c>
      <c r="H49" s="125">
        <v>0.0</v>
      </c>
      <c r="I49" s="80" t="s">
        <v>51</v>
      </c>
      <c r="J49" s="125">
        <v>8.0</v>
      </c>
      <c r="K49" s="80" t="s">
        <v>51</v>
      </c>
      <c r="L49" s="125">
        <v>8.0</v>
      </c>
      <c r="M49" s="80" t="s">
        <v>51</v>
      </c>
      <c r="N49" s="125">
        <v>8.0</v>
      </c>
      <c r="O49" s="126" t="s">
        <v>4</v>
      </c>
      <c r="P49" s="125">
        <v>0.0</v>
      </c>
      <c r="Q49" s="219">
        <f t="shared" si="3"/>
        <v>40</v>
      </c>
      <c r="R49" s="102"/>
      <c r="S49" s="102"/>
    </row>
    <row r="50">
      <c r="A50" s="106" t="s">
        <v>98</v>
      </c>
      <c r="B50" s="125" t="s">
        <v>317</v>
      </c>
      <c r="C50" s="90" t="s">
        <v>51</v>
      </c>
      <c r="D50" s="125">
        <v>8.0</v>
      </c>
      <c r="E50" s="130" t="s">
        <v>4</v>
      </c>
      <c r="F50" s="125">
        <v>0.0</v>
      </c>
      <c r="G50" s="90" t="s">
        <v>31</v>
      </c>
      <c r="H50" s="125">
        <v>8.0</v>
      </c>
      <c r="I50" s="90" t="s">
        <v>51</v>
      </c>
      <c r="J50" s="125">
        <v>8.0</v>
      </c>
      <c r="K50" s="90" t="s">
        <v>51</v>
      </c>
      <c r="L50" s="125">
        <v>8.0</v>
      </c>
      <c r="M50" s="90" t="s">
        <v>51</v>
      </c>
      <c r="N50" s="125">
        <v>8.0</v>
      </c>
      <c r="O50" s="130" t="s">
        <v>4</v>
      </c>
      <c r="P50" s="213">
        <v>0.0</v>
      </c>
      <c r="Q50" s="219">
        <f t="shared" si="3"/>
        <v>40</v>
      </c>
      <c r="R50" s="220" t="s">
        <v>330</v>
      </c>
      <c r="S50" s="102"/>
    </row>
    <row r="51">
      <c r="A51" s="106" t="s">
        <v>80</v>
      </c>
      <c r="B51" s="125" t="s">
        <v>315</v>
      </c>
      <c r="C51" s="129" t="s">
        <v>64</v>
      </c>
      <c r="D51" s="125">
        <v>8.0</v>
      </c>
      <c r="E51" s="129" t="s">
        <v>64</v>
      </c>
      <c r="F51" s="125">
        <v>8.0</v>
      </c>
      <c r="G51" s="126" t="s">
        <v>4</v>
      </c>
      <c r="H51" s="125">
        <v>0.0</v>
      </c>
      <c r="I51" s="129" t="s">
        <v>64</v>
      </c>
      <c r="J51" s="125">
        <v>8.0</v>
      </c>
      <c r="K51" s="90" t="s">
        <v>11</v>
      </c>
      <c r="L51" s="125">
        <v>8.0</v>
      </c>
      <c r="M51" s="90" t="s">
        <v>11</v>
      </c>
      <c r="N51" s="125">
        <v>8.0</v>
      </c>
      <c r="O51" s="130" t="s">
        <v>4</v>
      </c>
      <c r="P51" s="125">
        <v>0.0</v>
      </c>
      <c r="Q51" s="219">
        <f t="shared" si="3"/>
        <v>40</v>
      </c>
      <c r="R51" s="102"/>
      <c r="S51" s="102"/>
    </row>
    <row r="52">
      <c r="A52" s="109" t="s">
        <v>78</v>
      </c>
      <c r="B52" s="125" t="s">
        <v>314</v>
      </c>
      <c r="C52" s="90" t="s">
        <v>51</v>
      </c>
      <c r="D52" s="125">
        <v>8.0</v>
      </c>
      <c r="E52" s="90" t="s">
        <v>51</v>
      </c>
      <c r="F52" s="125">
        <v>8.0</v>
      </c>
      <c r="G52" s="90" t="s">
        <v>51</v>
      </c>
      <c r="H52" s="125">
        <v>8.0</v>
      </c>
      <c r="I52" s="126" t="s">
        <v>4</v>
      </c>
      <c r="J52" s="125">
        <v>0.0</v>
      </c>
      <c r="K52" s="90" t="s">
        <v>51</v>
      </c>
      <c r="L52" s="125">
        <v>8.0</v>
      </c>
      <c r="M52" s="90" t="s">
        <v>51</v>
      </c>
      <c r="N52" s="125">
        <v>8.0</v>
      </c>
      <c r="O52" s="126" t="s">
        <v>4</v>
      </c>
      <c r="P52" s="125">
        <v>0.0</v>
      </c>
      <c r="Q52" s="219">
        <f t="shared" si="3"/>
        <v>40</v>
      </c>
      <c r="R52" s="102"/>
      <c r="S52" s="102"/>
    </row>
    <row r="53">
      <c r="A53" s="106" t="s">
        <v>94</v>
      </c>
      <c r="B53" s="125" t="s">
        <v>314</v>
      </c>
      <c r="C53" s="90" t="s">
        <v>36</v>
      </c>
      <c r="D53" s="125">
        <v>8.0</v>
      </c>
      <c r="E53" s="126" t="s">
        <v>4</v>
      </c>
      <c r="F53" s="125">
        <v>0.0</v>
      </c>
      <c r="G53" s="90" t="s">
        <v>36</v>
      </c>
      <c r="H53" s="125">
        <v>8.0</v>
      </c>
      <c r="I53" s="90" t="s">
        <v>36</v>
      </c>
      <c r="J53" s="125">
        <v>8.0</v>
      </c>
      <c r="K53" s="90" t="s">
        <v>36</v>
      </c>
      <c r="L53" s="125">
        <v>8.0</v>
      </c>
      <c r="M53" s="90" t="s">
        <v>36</v>
      </c>
      <c r="N53" s="125">
        <v>8.0</v>
      </c>
      <c r="O53" s="126" t="s">
        <v>4</v>
      </c>
      <c r="P53" s="125">
        <v>0.0</v>
      </c>
      <c r="Q53" s="219">
        <f t="shared" si="3"/>
        <v>40</v>
      </c>
      <c r="R53" s="102"/>
      <c r="S53" s="102"/>
    </row>
    <row r="54">
      <c r="A54" s="113" t="s">
        <v>86</v>
      </c>
      <c r="B54" s="125" t="s">
        <v>317</v>
      </c>
      <c r="C54" s="126" t="s">
        <v>4</v>
      </c>
      <c r="D54" s="125">
        <v>0.0</v>
      </c>
      <c r="E54" s="126" t="s">
        <v>4</v>
      </c>
      <c r="F54" s="125">
        <v>0.0</v>
      </c>
      <c r="G54" s="129" t="s">
        <v>17</v>
      </c>
      <c r="H54" s="125">
        <v>8.0</v>
      </c>
      <c r="I54" s="129" t="s">
        <v>17</v>
      </c>
      <c r="J54" s="125">
        <v>8.0</v>
      </c>
      <c r="K54" s="129" t="s">
        <v>17</v>
      </c>
      <c r="L54" s="125">
        <v>8.0</v>
      </c>
      <c r="M54" s="129" t="s">
        <v>17</v>
      </c>
      <c r="N54" s="125">
        <v>8.0</v>
      </c>
      <c r="O54" s="129" t="s">
        <v>17</v>
      </c>
      <c r="P54" s="125">
        <v>8.0</v>
      </c>
      <c r="Q54" s="219">
        <f t="shared" si="3"/>
        <v>40</v>
      </c>
      <c r="R54" s="102"/>
      <c r="S54" s="102"/>
    </row>
    <row r="55">
      <c r="Q55" s="1">
        <f>SUM(Q40:Q54)</f>
        <v>595</v>
      </c>
    </row>
    <row r="57">
      <c r="P57" s="217" t="s">
        <v>331</v>
      </c>
      <c r="Q57" s="218">
        <f>Q19+Q37+Q55</f>
        <v>1553</v>
      </c>
    </row>
  </sheetData>
  <mergeCells count="1">
    <mergeCell ref="R30:S30"/>
  </mergeCells>
  <conditionalFormatting sqref="Q41:Q54">
    <cfRule type="notContainsBlanks" dxfId="4" priority="1">
      <formula>LEN(TRIM(Q41))&gt;0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24.86"/>
    <col customWidth="1" min="4" max="4" width="28.43"/>
    <col customWidth="1" min="6" max="6" width="24.86"/>
    <col customWidth="1" min="8" max="8" width="25.29"/>
    <col customWidth="1" min="10" max="10" width="26.71"/>
    <col customWidth="1" min="12" max="12" width="28.71"/>
    <col customWidth="1" min="14" max="14" width="29.0"/>
    <col customWidth="1" min="17" max="17" width="51.71"/>
  </cols>
  <sheetData>
    <row r="2">
      <c r="A2" s="221" t="s">
        <v>143</v>
      </c>
      <c r="B2" s="222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</row>
    <row r="3">
      <c r="A3" s="116" t="s">
        <v>65</v>
      </c>
      <c r="B3" s="117" t="s">
        <v>144</v>
      </c>
      <c r="C3" s="118"/>
      <c r="D3" s="117" t="s">
        <v>145</v>
      </c>
      <c r="E3" s="118"/>
      <c r="F3" s="117" t="s">
        <v>146</v>
      </c>
      <c r="G3" s="118"/>
      <c r="H3" s="117" t="s">
        <v>147</v>
      </c>
      <c r="I3" s="118"/>
      <c r="J3" s="117" t="s">
        <v>148</v>
      </c>
      <c r="K3" s="118"/>
      <c r="L3" s="117" t="s">
        <v>149</v>
      </c>
      <c r="M3" s="118"/>
      <c r="N3" s="117" t="s">
        <v>150</v>
      </c>
      <c r="O3" s="118"/>
      <c r="P3" s="117" t="s">
        <v>107</v>
      </c>
      <c r="Q3" s="224" t="s">
        <v>332</v>
      </c>
    </row>
    <row r="4">
      <c r="A4" s="120" t="s">
        <v>82</v>
      </c>
      <c r="B4" s="81" t="s">
        <v>4</v>
      </c>
      <c r="C4" s="80">
        <v>0.0</v>
      </c>
      <c r="D4" s="225"/>
      <c r="E4" s="80">
        <v>0.0</v>
      </c>
      <c r="F4" s="225"/>
      <c r="G4" s="80">
        <v>0.0</v>
      </c>
      <c r="H4" s="80" t="s">
        <v>51</v>
      </c>
      <c r="I4" s="80">
        <v>8.0</v>
      </c>
      <c r="J4" s="80" t="s">
        <v>51</v>
      </c>
      <c r="K4" s="80">
        <v>8.0</v>
      </c>
      <c r="L4" s="80" t="s">
        <v>51</v>
      </c>
      <c r="M4" s="80">
        <v>8.0</v>
      </c>
      <c r="N4" s="81" t="s">
        <v>4</v>
      </c>
      <c r="O4" s="80">
        <v>0.0</v>
      </c>
      <c r="P4" s="80">
        <v>24.0</v>
      </c>
      <c r="Q4" s="226"/>
    </row>
    <row r="5">
      <c r="A5" s="123" t="s">
        <v>90</v>
      </c>
      <c r="B5" s="80" t="s">
        <v>51</v>
      </c>
      <c r="C5" s="80">
        <v>8.0</v>
      </c>
      <c r="D5" s="80" t="s">
        <v>51</v>
      </c>
      <c r="E5" s="80">
        <v>8.0</v>
      </c>
      <c r="F5" s="81" t="s">
        <v>4</v>
      </c>
      <c r="G5" s="80">
        <v>0.0</v>
      </c>
      <c r="H5" s="80" t="s">
        <v>51</v>
      </c>
      <c r="I5" s="80">
        <v>8.0</v>
      </c>
      <c r="J5" s="80" t="s">
        <v>17</v>
      </c>
      <c r="K5" s="80">
        <v>8.0</v>
      </c>
      <c r="L5" s="80" t="s">
        <v>17</v>
      </c>
      <c r="M5" s="80">
        <v>8.0</v>
      </c>
      <c r="N5" s="81" t="s">
        <v>4</v>
      </c>
      <c r="O5" s="80">
        <v>0.0</v>
      </c>
      <c r="P5" s="80">
        <v>40.0</v>
      </c>
      <c r="Q5" s="120" t="s">
        <v>333</v>
      </c>
    </row>
    <row r="6">
      <c r="A6" s="123" t="s">
        <v>88</v>
      </c>
      <c r="B6" s="80" t="s">
        <v>36</v>
      </c>
      <c r="C6" s="80">
        <v>8.0</v>
      </c>
      <c r="D6" s="80" t="s">
        <v>51</v>
      </c>
      <c r="E6" s="80">
        <v>8.0</v>
      </c>
      <c r="F6" s="81" t="s">
        <v>4</v>
      </c>
      <c r="G6" s="80">
        <v>0.0</v>
      </c>
      <c r="H6" s="81" t="s">
        <v>4</v>
      </c>
      <c r="I6" s="80">
        <v>0.0</v>
      </c>
      <c r="J6" s="80" t="s">
        <v>36</v>
      </c>
      <c r="K6" s="80">
        <v>8.0</v>
      </c>
      <c r="L6" s="81" t="s">
        <v>4</v>
      </c>
      <c r="M6" s="80">
        <v>8.0</v>
      </c>
      <c r="N6" s="81" t="s">
        <v>4</v>
      </c>
      <c r="O6" s="80">
        <v>0.0</v>
      </c>
      <c r="P6" s="80">
        <v>32.0</v>
      </c>
      <c r="Q6" s="120" t="s">
        <v>333</v>
      </c>
    </row>
    <row r="7">
      <c r="A7" s="120" t="s">
        <v>70</v>
      </c>
      <c r="B7" s="80" t="s">
        <v>51</v>
      </c>
      <c r="C7" s="80">
        <v>8.0</v>
      </c>
      <c r="D7" s="81" t="s">
        <v>4</v>
      </c>
      <c r="E7" s="80">
        <v>0.0</v>
      </c>
      <c r="F7" s="80" t="s">
        <v>51</v>
      </c>
      <c r="G7" s="80">
        <v>8.0</v>
      </c>
      <c r="H7" s="81" t="s">
        <v>4</v>
      </c>
      <c r="I7" s="80">
        <v>0.0</v>
      </c>
      <c r="J7" s="80" t="s">
        <v>51</v>
      </c>
      <c r="K7" s="80">
        <v>8.0</v>
      </c>
      <c r="L7" s="81" t="s">
        <v>4</v>
      </c>
      <c r="M7" s="80">
        <v>8.0</v>
      </c>
      <c r="N7" s="81" t="s">
        <v>4</v>
      </c>
      <c r="O7" s="80">
        <v>0.0</v>
      </c>
      <c r="P7" s="80">
        <v>32.0</v>
      </c>
      <c r="Q7" s="226"/>
    </row>
    <row r="8">
      <c r="A8" s="120" t="s">
        <v>72</v>
      </c>
      <c r="B8" s="80" t="s">
        <v>51</v>
      </c>
      <c r="C8" s="80">
        <v>8.0</v>
      </c>
      <c r="D8" s="81" t="s">
        <v>4</v>
      </c>
      <c r="E8" s="80">
        <v>0.0</v>
      </c>
      <c r="F8" s="80" t="s">
        <v>51</v>
      </c>
      <c r="G8" s="80">
        <v>8.0</v>
      </c>
      <c r="H8" s="81" t="s">
        <v>4</v>
      </c>
      <c r="I8" s="80">
        <v>0.0</v>
      </c>
      <c r="J8" s="80" t="s">
        <v>51</v>
      </c>
      <c r="K8" s="80">
        <v>8.0</v>
      </c>
      <c r="L8" s="81" t="s">
        <v>4</v>
      </c>
      <c r="M8" s="80">
        <v>8.0</v>
      </c>
      <c r="N8" s="81" t="s">
        <v>4</v>
      </c>
      <c r="O8" s="80">
        <v>0.0</v>
      </c>
      <c r="P8" s="80">
        <v>32.0</v>
      </c>
      <c r="Q8" s="226"/>
    </row>
    <row r="9">
      <c r="A9" s="120" t="s">
        <v>96</v>
      </c>
      <c r="B9" s="80" t="s">
        <v>51</v>
      </c>
      <c r="C9" s="80">
        <v>8.0</v>
      </c>
      <c r="D9" s="80" t="s">
        <v>51</v>
      </c>
      <c r="E9" s="80">
        <v>8.0</v>
      </c>
      <c r="F9" s="81" t="s">
        <v>4</v>
      </c>
      <c r="G9" s="80">
        <v>0.0</v>
      </c>
      <c r="H9" s="80" t="s">
        <v>51</v>
      </c>
      <c r="I9" s="80">
        <v>8.0</v>
      </c>
      <c r="J9" s="80" t="s">
        <v>51</v>
      </c>
      <c r="K9" s="80">
        <v>8.0</v>
      </c>
      <c r="L9" s="81" t="s">
        <v>4</v>
      </c>
      <c r="M9" s="80">
        <v>8.0</v>
      </c>
      <c r="N9" s="81" t="s">
        <v>4</v>
      </c>
      <c r="O9" s="80">
        <v>0.0</v>
      </c>
      <c r="P9" s="80">
        <v>40.0</v>
      </c>
      <c r="Q9" s="226"/>
    </row>
    <row r="10">
      <c r="A10" s="120" t="s">
        <v>92</v>
      </c>
      <c r="B10" s="80" t="s">
        <v>51</v>
      </c>
      <c r="C10" s="80">
        <v>8.0</v>
      </c>
      <c r="D10" s="81" t="s">
        <v>4</v>
      </c>
      <c r="E10" s="80">
        <v>0.0</v>
      </c>
      <c r="F10" s="80" t="s">
        <v>51</v>
      </c>
      <c r="G10" s="80">
        <v>8.0</v>
      </c>
      <c r="H10" s="80" t="s">
        <v>51</v>
      </c>
      <c r="I10" s="80">
        <v>8.0</v>
      </c>
      <c r="J10" s="80" t="s">
        <v>51</v>
      </c>
      <c r="K10" s="80">
        <v>8.0</v>
      </c>
      <c r="L10" s="80" t="s">
        <v>51</v>
      </c>
      <c r="M10" s="80">
        <v>8.0</v>
      </c>
      <c r="N10" s="81" t="s">
        <v>4</v>
      </c>
      <c r="O10" s="80">
        <v>0.0</v>
      </c>
      <c r="P10" s="80">
        <v>40.0</v>
      </c>
      <c r="Q10" s="227" t="s">
        <v>334</v>
      </c>
    </row>
    <row r="11">
      <c r="A11" s="124" t="s">
        <v>76</v>
      </c>
      <c r="B11" s="80" t="s">
        <v>51</v>
      </c>
      <c r="C11" s="80">
        <v>0.0</v>
      </c>
      <c r="D11" s="228"/>
      <c r="E11" s="80">
        <v>0.0</v>
      </c>
      <c r="F11" s="228"/>
      <c r="G11" s="80">
        <v>0.0</v>
      </c>
      <c r="H11" s="225"/>
      <c r="I11" s="80">
        <v>0.0</v>
      </c>
      <c r="J11" s="225"/>
      <c r="K11" s="80">
        <v>0.0</v>
      </c>
      <c r="L11" s="228"/>
      <c r="M11" s="214"/>
      <c r="N11" s="225"/>
      <c r="O11" s="80">
        <v>0.0</v>
      </c>
      <c r="P11" s="80">
        <v>0.0</v>
      </c>
      <c r="Q11" s="226"/>
    </row>
    <row r="12">
      <c r="A12" s="120" t="s">
        <v>74</v>
      </c>
      <c r="B12" s="80" t="s">
        <v>17</v>
      </c>
      <c r="C12" s="80">
        <v>8.0</v>
      </c>
      <c r="D12" s="80" t="s">
        <v>152</v>
      </c>
      <c r="E12" s="80">
        <v>6.0</v>
      </c>
      <c r="F12" s="81" t="s">
        <v>4</v>
      </c>
      <c r="G12" s="80">
        <v>0.0</v>
      </c>
      <c r="H12" s="80" t="s">
        <v>153</v>
      </c>
      <c r="I12" s="80">
        <v>6.5</v>
      </c>
      <c r="J12" s="80" t="s">
        <v>153</v>
      </c>
      <c r="K12" s="80">
        <v>6.5</v>
      </c>
      <c r="L12" s="80" t="s">
        <v>17</v>
      </c>
      <c r="M12" s="80">
        <v>8.0</v>
      </c>
      <c r="N12" s="81" t="s">
        <v>4</v>
      </c>
      <c r="O12" s="80">
        <v>0.0</v>
      </c>
      <c r="P12" s="80">
        <v>35.0</v>
      </c>
      <c r="Q12" s="120" t="s">
        <v>333</v>
      </c>
    </row>
    <row r="13">
      <c r="A13" s="120" t="s">
        <v>84</v>
      </c>
      <c r="B13" s="80" t="s">
        <v>51</v>
      </c>
      <c r="C13" s="80">
        <v>8.0</v>
      </c>
      <c r="D13" s="80" t="s">
        <v>51</v>
      </c>
      <c r="E13" s="80">
        <v>8.0</v>
      </c>
      <c r="F13" s="81" t="s">
        <v>4</v>
      </c>
      <c r="G13" s="80">
        <v>0.0</v>
      </c>
      <c r="H13" s="81" t="s">
        <v>4</v>
      </c>
      <c r="I13" s="80">
        <v>0.0</v>
      </c>
      <c r="J13" s="80" t="s">
        <v>51</v>
      </c>
      <c r="K13" s="80">
        <v>8.0</v>
      </c>
      <c r="L13" s="80" t="s">
        <v>51</v>
      </c>
      <c r="M13" s="80">
        <v>8.0</v>
      </c>
      <c r="N13" s="81" t="s">
        <v>4</v>
      </c>
      <c r="O13" s="80">
        <v>0.0</v>
      </c>
      <c r="P13" s="80">
        <v>32.0</v>
      </c>
      <c r="Q13" s="226"/>
    </row>
    <row r="14">
      <c r="A14" s="120" t="s">
        <v>98</v>
      </c>
      <c r="B14" s="80" t="s">
        <v>51</v>
      </c>
      <c r="C14" s="80">
        <v>8.0</v>
      </c>
      <c r="D14" s="81" t="s">
        <v>4</v>
      </c>
      <c r="E14" s="80">
        <v>0.0</v>
      </c>
      <c r="F14" s="81" t="s">
        <v>4</v>
      </c>
      <c r="G14" s="80">
        <v>0.0</v>
      </c>
      <c r="H14" s="80" t="s">
        <v>51</v>
      </c>
      <c r="I14" s="80">
        <v>8.0</v>
      </c>
      <c r="J14" s="80" t="s">
        <v>51</v>
      </c>
      <c r="K14" s="80">
        <v>8.0</v>
      </c>
      <c r="L14" s="81" t="s">
        <v>4</v>
      </c>
      <c r="M14" s="80">
        <v>8.0</v>
      </c>
      <c r="N14" s="81" t="s">
        <v>4</v>
      </c>
      <c r="O14" s="80">
        <v>0.0</v>
      </c>
      <c r="P14" s="80">
        <v>32.0</v>
      </c>
      <c r="Q14" s="226"/>
    </row>
    <row r="15">
      <c r="A15" s="120" t="s">
        <v>80</v>
      </c>
      <c r="B15" s="225"/>
      <c r="C15" s="80">
        <v>0.0</v>
      </c>
      <c r="D15" s="225"/>
      <c r="E15" s="80">
        <v>0.0</v>
      </c>
      <c r="F15" s="225"/>
      <c r="G15" s="80">
        <v>0.0</v>
      </c>
      <c r="H15" s="228"/>
      <c r="I15" s="80">
        <v>0.0</v>
      </c>
      <c r="J15" s="225"/>
      <c r="K15" s="80">
        <v>0.0</v>
      </c>
      <c r="L15" s="81" t="s">
        <v>4</v>
      </c>
      <c r="M15" s="214"/>
      <c r="N15" s="81" t="s">
        <v>4</v>
      </c>
      <c r="O15" s="80">
        <v>0.0</v>
      </c>
      <c r="P15" s="80">
        <v>0.0</v>
      </c>
      <c r="Q15" s="226"/>
    </row>
    <row r="16">
      <c r="A16" s="123" t="s">
        <v>78</v>
      </c>
      <c r="B16" s="80" t="s">
        <v>51</v>
      </c>
      <c r="C16" s="80">
        <v>8.0</v>
      </c>
      <c r="D16" s="80" t="s">
        <v>51</v>
      </c>
      <c r="E16" s="80">
        <v>8.0</v>
      </c>
      <c r="F16" s="81" t="s">
        <v>4</v>
      </c>
      <c r="G16" s="80">
        <v>0.0</v>
      </c>
      <c r="H16" s="80" t="s">
        <v>51</v>
      </c>
      <c r="I16" s="80">
        <v>8.0</v>
      </c>
      <c r="J16" s="80" t="s">
        <v>51</v>
      </c>
      <c r="K16" s="80">
        <v>8.0</v>
      </c>
      <c r="L16" s="81" t="s">
        <v>4</v>
      </c>
      <c r="M16" s="80">
        <v>8.0</v>
      </c>
      <c r="N16" s="81" t="s">
        <v>4</v>
      </c>
      <c r="O16" s="80">
        <v>0.0</v>
      </c>
      <c r="P16" s="80">
        <v>40.0</v>
      </c>
      <c r="Q16" s="120" t="s">
        <v>335</v>
      </c>
    </row>
    <row r="17">
      <c r="A17" s="120" t="s">
        <v>94</v>
      </c>
      <c r="B17" s="80" t="s">
        <v>36</v>
      </c>
      <c r="C17" s="80">
        <v>8.0</v>
      </c>
      <c r="D17" s="81" t="s">
        <v>4</v>
      </c>
      <c r="E17" s="80">
        <v>0.0</v>
      </c>
      <c r="F17" s="229" t="s">
        <v>4</v>
      </c>
      <c r="G17" s="80">
        <v>0.0</v>
      </c>
      <c r="H17" s="80" t="s">
        <v>36</v>
      </c>
      <c r="I17" s="80">
        <v>8.0</v>
      </c>
      <c r="J17" s="80" t="s">
        <v>36</v>
      </c>
      <c r="K17" s="80">
        <v>8.0</v>
      </c>
      <c r="L17" s="80" t="s">
        <v>36</v>
      </c>
      <c r="M17" s="80">
        <v>8.0</v>
      </c>
      <c r="N17" s="81" t="s">
        <v>4</v>
      </c>
      <c r="O17" s="80">
        <v>0.0</v>
      </c>
      <c r="P17" s="80">
        <v>32.0</v>
      </c>
      <c r="Q17" s="120" t="s">
        <v>333</v>
      </c>
    </row>
    <row r="18">
      <c r="A18" s="124" t="s">
        <v>86</v>
      </c>
      <c r="B18" s="80" t="s">
        <v>51</v>
      </c>
      <c r="C18" s="80">
        <v>8.0</v>
      </c>
      <c r="D18" s="81" t="s">
        <v>4</v>
      </c>
      <c r="E18" s="80">
        <v>0.0</v>
      </c>
      <c r="F18" s="81" t="s">
        <v>4</v>
      </c>
      <c r="G18" s="80">
        <v>0.0</v>
      </c>
      <c r="H18" s="80" t="s">
        <v>51</v>
      </c>
      <c r="I18" s="80">
        <v>8.0</v>
      </c>
      <c r="J18" s="80" t="s">
        <v>51</v>
      </c>
      <c r="K18" s="80">
        <v>8.0</v>
      </c>
      <c r="L18" s="80" t="s">
        <v>51</v>
      </c>
      <c r="M18" s="80">
        <v>8.0</v>
      </c>
      <c r="N18" s="80" t="s">
        <v>51</v>
      </c>
      <c r="O18" s="80">
        <v>8.0</v>
      </c>
      <c r="P18" s="80">
        <v>40.0</v>
      </c>
      <c r="Q18" s="226"/>
    </row>
    <row r="19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</row>
    <row r="20">
      <c r="A20" s="221" t="s">
        <v>156</v>
      </c>
      <c r="B20" s="230"/>
      <c r="C20" s="223"/>
      <c r="D20" s="223"/>
      <c r="E20" s="223"/>
      <c r="F20" s="223"/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223"/>
    </row>
    <row r="21">
      <c r="A21" s="116" t="s">
        <v>65</v>
      </c>
      <c r="B21" s="117" t="s">
        <v>157</v>
      </c>
      <c r="C21" s="118"/>
      <c r="D21" s="117" t="s">
        <v>158</v>
      </c>
      <c r="E21" s="118"/>
      <c r="F21" s="117" t="s">
        <v>159</v>
      </c>
      <c r="G21" s="118"/>
      <c r="H21" s="117" t="s">
        <v>160</v>
      </c>
      <c r="I21" s="118"/>
      <c r="J21" s="117" t="s">
        <v>161</v>
      </c>
      <c r="K21" s="118"/>
      <c r="L21" s="117" t="s">
        <v>162</v>
      </c>
      <c r="M21" s="118"/>
      <c r="N21" s="117" t="s">
        <v>163</v>
      </c>
      <c r="O21" s="118"/>
      <c r="P21" s="117" t="s">
        <v>107</v>
      </c>
      <c r="Q21" s="224" t="s">
        <v>332</v>
      </c>
    </row>
    <row r="22">
      <c r="A22" s="120" t="s">
        <v>82</v>
      </c>
      <c r="B22" s="148" t="s">
        <v>51</v>
      </c>
      <c r="C22" s="107">
        <v>8.0</v>
      </c>
      <c r="D22" s="107" t="s">
        <v>51</v>
      </c>
      <c r="E22" s="107">
        <v>8.0</v>
      </c>
      <c r="F22" s="159" t="s">
        <v>4</v>
      </c>
      <c r="G22" s="107">
        <v>0.0</v>
      </c>
      <c r="H22" s="107" t="s">
        <v>51</v>
      </c>
      <c r="I22" s="107">
        <v>8.0</v>
      </c>
      <c r="J22" s="107" t="s">
        <v>51</v>
      </c>
      <c r="K22" s="107">
        <v>8.0</v>
      </c>
      <c r="L22" s="107" t="s">
        <v>51</v>
      </c>
      <c r="M22" s="107">
        <v>8.0</v>
      </c>
      <c r="N22" s="159" t="s">
        <v>4</v>
      </c>
      <c r="O22" s="107">
        <v>0.0</v>
      </c>
      <c r="P22" s="80"/>
      <c r="Q22" s="120"/>
    </row>
    <row r="23">
      <c r="A23" s="123" t="s">
        <v>90</v>
      </c>
      <c r="B23" s="231" t="s">
        <v>164</v>
      </c>
      <c r="C23" s="96">
        <v>0.0</v>
      </c>
      <c r="D23" s="96" t="s">
        <v>51</v>
      </c>
      <c r="E23" s="96">
        <v>8.0</v>
      </c>
      <c r="F23" s="112" t="s">
        <v>4</v>
      </c>
      <c r="G23" s="96">
        <v>0.0</v>
      </c>
      <c r="H23" s="96" t="s">
        <v>17</v>
      </c>
      <c r="I23" s="96">
        <v>8.0</v>
      </c>
      <c r="J23" s="96" t="s">
        <v>17</v>
      </c>
      <c r="K23" s="96">
        <v>8.0</v>
      </c>
      <c r="L23" s="96" t="s">
        <v>17</v>
      </c>
      <c r="M23" s="96">
        <v>8.0</v>
      </c>
      <c r="N23" s="96" t="s">
        <v>17</v>
      </c>
      <c r="O23" s="96">
        <v>8.0</v>
      </c>
      <c r="P23" s="80">
        <v>40.0</v>
      </c>
      <c r="Q23" s="226"/>
    </row>
    <row r="24">
      <c r="A24" s="123" t="s">
        <v>88</v>
      </c>
      <c r="B24" s="97" t="s">
        <v>164</v>
      </c>
      <c r="C24" s="96">
        <v>8.0</v>
      </c>
      <c r="D24" s="112" t="s">
        <v>4</v>
      </c>
      <c r="E24" s="96">
        <v>0.0</v>
      </c>
      <c r="F24" s="96" t="s">
        <v>36</v>
      </c>
      <c r="G24" s="96">
        <v>8.0</v>
      </c>
      <c r="H24" s="112" t="s">
        <v>4</v>
      </c>
      <c r="I24" s="96">
        <v>0.0</v>
      </c>
      <c r="J24" s="96" t="s">
        <v>36</v>
      </c>
      <c r="K24" s="96">
        <v>8.0</v>
      </c>
      <c r="L24" s="96" t="s">
        <v>36</v>
      </c>
      <c r="M24" s="96">
        <v>8.0</v>
      </c>
      <c r="N24" s="96" t="s">
        <v>36</v>
      </c>
      <c r="O24" s="96">
        <v>8.0</v>
      </c>
      <c r="P24" s="80">
        <v>48.0</v>
      </c>
      <c r="Q24" s="120"/>
    </row>
    <row r="25">
      <c r="A25" s="120" t="s">
        <v>70</v>
      </c>
      <c r="B25" s="231" t="s">
        <v>164</v>
      </c>
      <c r="C25" s="96">
        <v>0.0</v>
      </c>
      <c r="D25" s="96" t="s">
        <v>51</v>
      </c>
      <c r="E25" s="96">
        <v>8.0</v>
      </c>
      <c r="F25" s="96" t="s">
        <v>51</v>
      </c>
      <c r="G25" s="96">
        <v>8.0</v>
      </c>
      <c r="H25" s="96" t="s">
        <v>51</v>
      </c>
      <c r="I25" s="96">
        <v>8.0</v>
      </c>
      <c r="J25" s="96" t="s">
        <v>51</v>
      </c>
      <c r="K25" s="96">
        <v>8.0</v>
      </c>
      <c r="L25" s="96" t="s">
        <v>51</v>
      </c>
      <c r="M25" s="96">
        <v>8.0</v>
      </c>
      <c r="N25" s="112" t="s">
        <v>4</v>
      </c>
      <c r="O25" s="96">
        <v>0.0</v>
      </c>
      <c r="P25" s="80">
        <v>40.0</v>
      </c>
      <c r="Q25" s="226"/>
    </row>
    <row r="26">
      <c r="A26" s="120" t="s">
        <v>72</v>
      </c>
      <c r="B26" s="231" t="s">
        <v>164</v>
      </c>
      <c r="C26" s="96">
        <v>0.0</v>
      </c>
      <c r="D26" s="96" t="s">
        <v>51</v>
      </c>
      <c r="E26" s="96">
        <v>8.0</v>
      </c>
      <c r="F26" s="96" t="s">
        <v>51</v>
      </c>
      <c r="G26" s="96">
        <v>8.0</v>
      </c>
      <c r="H26" s="112" t="s">
        <v>4</v>
      </c>
      <c r="I26" s="96">
        <v>0.0</v>
      </c>
      <c r="J26" s="96" t="s">
        <v>51</v>
      </c>
      <c r="K26" s="96">
        <v>8.0</v>
      </c>
      <c r="L26" s="96" t="s">
        <v>51</v>
      </c>
      <c r="M26" s="96">
        <v>8.0</v>
      </c>
      <c r="N26" s="96" t="s">
        <v>51</v>
      </c>
      <c r="O26" s="96">
        <v>8.0</v>
      </c>
      <c r="P26" s="80">
        <v>40.0</v>
      </c>
      <c r="Q26" s="226"/>
    </row>
    <row r="27">
      <c r="A27" s="120" t="s">
        <v>96</v>
      </c>
      <c r="B27" s="97" t="s">
        <v>51</v>
      </c>
      <c r="C27" s="96">
        <v>8.0</v>
      </c>
      <c r="D27" s="112" t="s">
        <v>4</v>
      </c>
      <c r="E27" s="96">
        <v>0.0</v>
      </c>
      <c r="F27" s="112" t="s">
        <v>4</v>
      </c>
      <c r="G27" s="96">
        <v>0.0</v>
      </c>
      <c r="H27" s="96" t="s">
        <v>51</v>
      </c>
      <c r="I27" s="96">
        <v>8.0</v>
      </c>
      <c r="J27" s="96" t="s">
        <v>51</v>
      </c>
      <c r="K27" s="96">
        <v>8.0</v>
      </c>
      <c r="L27" s="96" t="s">
        <v>51</v>
      </c>
      <c r="M27" s="96">
        <v>8.0</v>
      </c>
      <c r="N27" s="96" t="s">
        <v>51</v>
      </c>
      <c r="O27" s="96">
        <v>8.0</v>
      </c>
      <c r="P27" s="80">
        <v>48.0</v>
      </c>
      <c r="Q27" s="120"/>
    </row>
    <row r="28">
      <c r="A28" s="120" t="s">
        <v>92</v>
      </c>
      <c r="B28" s="97" t="s">
        <v>51</v>
      </c>
      <c r="C28" s="96">
        <v>8.0</v>
      </c>
      <c r="D28" s="112" t="s">
        <v>4</v>
      </c>
      <c r="E28" s="96">
        <v>0.0</v>
      </c>
      <c r="F28" s="96" t="s">
        <v>51</v>
      </c>
      <c r="G28" s="96">
        <v>8.0</v>
      </c>
      <c r="H28" s="112" t="s">
        <v>4</v>
      </c>
      <c r="I28" s="96">
        <v>0.0</v>
      </c>
      <c r="J28" s="96" t="s">
        <v>51</v>
      </c>
      <c r="K28" s="96">
        <v>8.0</v>
      </c>
      <c r="L28" s="96" t="s">
        <v>51</v>
      </c>
      <c r="M28" s="96">
        <v>8.0</v>
      </c>
      <c r="N28" s="96" t="s">
        <v>51</v>
      </c>
      <c r="O28" s="96">
        <v>8.0</v>
      </c>
      <c r="P28" s="80">
        <v>40.0</v>
      </c>
      <c r="Q28" s="226"/>
    </row>
    <row r="29">
      <c r="A29" s="124" t="s">
        <v>76</v>
      </c>
      <c r="B29" s="110" t="s">
        <v>4</v>
      </c>
      <c r="C29" s="111">
        <v>0.0</v>
      </c>
      <c r="D29" s="111" t="s">
        <v>4</v>
      </c>
      <c r="E29" s="111">
        <v>0.0</v>
      </c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80">
        <v>40.0</v>
      </c>
      <c r="Q29" s="120"/>
    </row>
    <row r="30">
      <c r="A30" s="120" t="s">
        <v>74</v>
      </c>
      <c r="B30" s="231" t="s">
        <v>164</v>
      </c>
      <c r="C30" s="96">
        <v>0.0</v>
      </c>
      <c r="D30" s="156" t="s">
        <v>17</v>
      </c>
      <c r="E30" s="156">
        <v>8.0</v>
      </c>
      <c r="F30" s="156" t="s">
        <v>17</v>
      </c>
      <c r="G30" s="156">
        <v>8.0</v>
      </c>
      <c r="H30" s="156" t="s">
        <v>17</v>
      </c>
      <c r="I30" s="156">
        <v>8.0</v>
      </c>
      <c r="J30" s="96" t="s">
        <v>17</v>
      </c>
      <c r="K30" s="96">
        <v>8.0</v>
      </c>
      <c r="L30" s="96" t="s">
        <v>17</v>
      </c>
      <c r="M30" s="96">
        <v>8.0</v>
      </c>
      <c r="N30" s="112" t="s">
        <v>4</v>
      </c>
      <c r="O30" s="96">
        <v>0.0</v>
      </c>
      <c r="P30" s="80">
        <v>40.0</v>
      </c>
      <c r="Q30" s="226"/>
    </row>
    <row r="31">
      <c r="A31" s="120" t="s">
        <v>84</v>
      </c>
      <c r="B31" s="97" t="s">
        <v>164</v>
      </c>
      <c r="C31" s="96">
        <v>8.0</v>
      </c>
      <c r="D31" s="96" t="s">
        <v>51</v>
      </c>
      <c r="E31" s="96">
        <v>8.0</v>
      </c>
      <c r="F31" s="112" t="s">
        <v>4</v>
      </c>
      <c r="G31" s="96">
        <v>0.0</v>
      </c>
      <c r="H31" s="112" t="s">
        <v>4</v>
      </c>
      <c r="I31" s="96">
        <v>0.0</v>
      </c>
      <c r="J31" s="96" t="s">
        <v>51</v>
      </c>
      <c r="K31" s="96">
        <v>8.0</v>
      </c>
      <c r="L31" s="96" t="s">
        <v>51</v>
      </c>
      <c r="M31" s="96">
        <v>8.0</v>
      </c>
      <c r="N31" s="96" t="s">
        <v>51</v>
      </c>
      <c r="O31" s="96">
        <v>8.0</v>
      </c>
      <c r="P31" s="80">
        <v>40.0</v>
      </c>
      <c r="Q31" s="226"/>
    </row>
    <row r="32">
      <c r="A32" s="120" t="s">
        <v>98</v>
      </c>
      <c r="B32" s="97" t="s">
        <v>164</v>
      </c>
      <c r="C32" s="96">
        <v>0.0</v>
      </c>
      <c r="D32" s="96" t="s">
        <v>51</v>
      </c>
      <c r="E32" s="96">
        <v>8.0</v>
      </c>
      <c r="F32" s="112" t="s">
        <v>4</v>
      </c>
      <c r="G32" s="96">
        <v>0.0</v>
      </c>
      <c r="H32" s="96" t="s">
        <v>51</v>
      </c>
      <c r="I32" s="96">
        <v>8.0</v>
      </c>
      <c r="J32" s="96" t="s">
        <v>51</v>
      </c>
      <c r="K32" s="96">
        <v>8.0</v>
      </c>
      <c r="L32" s="96" t="s">
        <v>51</v>
      </c>
      <c r="M32" s="96">
        <v>8.0</v>
      </c>
      <c r="N32" s="96" t="s">
        <v>51</v>
      </c>
      <c r="O32" s="96">
        <v>8.0</v>
      </c>
      <c r="P32" s="80">
        <v>40.0</v>
      </c>
      <c r="Q32" s="120" t="s">
        <v>334</v>
      </c>
    </row>
    <row r="33">
      <c r="A33" s="120" t="s">
        <v>80</v>
      </c>
      <c r="B33" s="231" t="s">
        <v>4</v>
      </c>
      <c r="C33" s="96">
        <v>0.0</v>
      </c>
      <c r="D33" s="233"/>
      <c r="E33" s="233"/>
      <c r="F33" s="96" t="s">
        <v>36</v>
      </c>
      <c r="G33" s="96">
        <v>8.0</v>
      </c>
      <c r="H33" s="96" t="s">
        <v>36</v>
      </c>
      <c r="I33" s="96">
        <v>8.0</v>
      </c>
      <c r="J33" s="96" t="s">
        <v>36</v>
      </c>
      <c r="K33" s="96">
        <v>8.0</v>
      </c>
      <c r="L33" s="96" t="s">
        <v>36</v>
      </c>
      <c r="M33" s="96">
        <v>8.0</v>
      </c>
      <c r="N33" s="112" t="s">
        <v>4</v>
      </c>
      <c r="O33" s="96">
        <v>0.0</v>
      </c>
      <c r="P33" s="80">
        <v>40.0</v>
      </c>
      <c r="Q33" s="120" t="s">
        <v>336</v>
      </c>
    </row>
    <row r="34">
      <c r="A34" s="123" t="s">
        <v>78</v>
      </c>
      <c r="B34" s="97" t="s">
        <v>164</v>
      </c>
      <c r="C34" s="96">
        <v>8.0</v>
      </c>
      <c r="D34" s="96" t="s">
        <v>51</v>
      </c>
      <c r="E34" s="96">
        <v>8.0</v>
      </c>
      <c r="F34" s="96" t="s">
        <v>51</v>
      </c>
      <c r="G34" s="96">
        <v>8.0</v>
      </c>
      <c r="H34" s="112" t="s">
        <v>4</v>
      </c>
      <c r="I34" s="96">
        <v>0.0</v>
      </c>
      <c r="J34" s="96" t="s">
        <v>51</v>
      </c>
      <c r="K34" s="96">
        <v>8.0</v>
      </c>
      <c r="L34" s="96" t="s">
        <v>51</v>
      </c>
      <c r="M34" s="96">
        <v>8.0</v>
      </c>
      <c r="N34" s="112" t="s">
        <v>4</v>
      </c>
      <c r="O34" s="96">
        <v>0.0</v>
      </c>
      <c r="P34" s="80">
        <v>40.0</v>
      </c>
      <c r="Q34" s="120" t="s">
        <v>334</v>
      </c>
    </row>
    <row r="35">
      <c r="A35" s="120" t="s">
        <v>94</v>
      </c>
      <c r="B35" s="97" t="s">
        <v>36</v>
      </c>
      <c r="C35" s="96">
        <v>8.0</v>
      </c>
      <c r="D35" s="112" t="s">
        <v>4</v>
      </c>
      <c r="E35" s="96">
        <v>0.0</v>
      </c>
      <c r="F35" s="96" t="s">
        <v>36</v>
      </c>
      <c r="G35" s="96">
        <v>8.0</v>
      </c>
      <c r="H35" s="96" t="s">
        <v>36</v>
      </c>
      <c r="I35" s="96">
        <v>8.0</v>
      </c>
      <c r="J35" s="96" t="s">
        <v>36</v>
      </c>
      <c r="K35" s="96">
        <v>8.0</v>
      </c>
      <c r="L35" s="96" t="s">
        <v>36</v>
      </c>
      <c r="M35" s="96">
        <v>8.0</v>
      </c>
      <c r="N35" s="112" t="s">
        <v>4</v>
      </c>
      <c r="O35" s="96">
        <v>0.0</v>
      </c>
      <c r="P35" s="80">
        <v>48.0</v>
      </c>
      <c r="Q35" s="226"/>
    </row>
    <row r="36">
      <c r="A36" s="124" t="s">
        <v>86</v>
      </c>
      <c r="B36" s="231" t="s">
        <v>164</v>
      </c>
      <c r="C36" s="96">
        <v>0.0</v>
      </c>
      <c r="D36" s="112" t="s">
        <v>4</v>
      </c>
      <c r="E36" s="96">
        <v>0.0</v>
      </c>
      <c r="F36" s="96" t="s">
        <v>51</v>
      </c>
      <c r="G36" s="96">
        <v>8.0</v>
      </c>
      <c r="H36" s="96" t="s">
        <v>169</v>
      </c>
      <c r="I36" s="96">
        <v>8.0</v>
      </c>
      <c r="J36" s="96" t="s">
        <v>51</v>
      </c>
      <c r="K36" s="96">
        <v>8.0</v>
      </c>
      <c r="L36" s="96" t="s">
        <v>51</v>
      </c>
      <c r="M36" s="96">
        <v>8.0</v>
      </c>
      <c r="N36" s="96" t="s">
        <v>51</v>
      </c>
      <c r="O36" s="96">
        <v>8.0</v>
      </c>
      <c r="P36" s="80">
        <v>40.0</v>
      </c>
      <c r="Q36" s="120" t="s">
        <v>334</v>
      </c>
    </row>
    <row r="37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9" t="s">
        <v>183</v>
      </c>
      <c r="O37" s="98"/>
      <c r="P37" s="98"/>
      <c r="Q37" s="98"/>
    </row>
    <row r="38">
      <c r="A38" s="221" t="s">
        <v>170</v>
      </c>
      <c r="B38" s="222"/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</row>
    <row r="39">
      <c r="A39" s="116" t="s">
        <v>65</v>
      </c>
      <c r="B39" s="117" t="s">
        <v>171</v>
      </c>
      <c r="C39" s="118"/>
      <c r="D39" s="117" t="s">
        <v>172</v>
      </c>
      <c r="E39" s="118"/>
      <c r="F39" s="117" t="s">
        <v>173</v>
      </c>
      <c r="G39" s="118"/>
      <c r="H39" s="117" t="s">
        <v>174</v>
      </c>
      <c r="I39" s="118"/>
      <c r="J39" s="117" t="s">
        <v>175</v>
      </c>
      <c r="K39" s="118"/>
      <c r="L39" s="117" t="s">
        <v>176</v>
      </c>
      <c r="M39" s="118"/>
      <c r="N39" s="117" t="s">
        <v>177</v>
      </c>
      <c r="O39" s="118"/>
      <c r="P39" s="117" t="s">
        <v>107</v>
      </c>
      <c r="Q39" s="224" t="s">
        <v>332</v>
      </c>
    </row>
    <row r="40">
      <c r="A40" s="120" t="s">
        <v>82</v>
      </c>
      <c r="B40" s="90" t="s">
        <v>51</v>
      </c>
      <c r="C40" s="91">
        <v>8.0</v>
      </c>
      <c r="D40" s="91" t="s">
        <v>51</v>
      </c>
      <c r="E40" s="91">
        <v>8.0</v>
      </c>
      <c r="F40" s="92" t="s">
        <v>4</v>
      </c>
      <c r="G40" s="91">
        <v>0.0</v>
      </c>
      <c r="H40" s="91" t="s">
        <v>51</v>
      </c>
      <c r="I40" s="91">
        <v>8.0</v>
      </c>
      <c r="J40" s="91" t="s">
        <v>51</v>
      </c>
      <c r="K40" s="91">
        <v>8.0</v>
      </c>
      <c r="L40" s="91" t="s">
        <v>51</v>
      </c>
      <c r="M40" s="91">
        <v>8.0</v>
      </c>
      <c r="N40" s="92" t="s">
        <v>4</v>
      </c>
      <c r="O40" s="91">
        <v>0.0</v>
      </c>
      <c r="P40" s="80">
        <v>40.0</v>
      </c>
      <c r="Q40" s="226"/>
    </row>
    <row r="41">
      <c r="A41" s="123" t="s">
        <v>90</v>
      </c>
      <c r="B41" s="234" t="s">
        <v>4</v>
      </c>
      <c r="C41" s="80">
        <v>0.0</v>
      </c>
      <c r="D41" s="80" t="s">
        <v>51</v>
      </c>
      <c r="E41" s="80">
        <v>8.0</v>
      </c>
      <c r="F41" s="80" t="s">
        <v>51</v>
      </c>
      <c r="G41" s="80">
        <v>8.0</v>
      </c>
      <c r="H41" s="81" t="s">
        <v>4</v>
      </c>
      <c r="I41" s="80">
        <v>0.0</v>
      </c>
      <c r="J41" s="80" t="s">
        <v>51</v>
      </c>
      <c r="K41" s="80">
        <v>8.0</v>
      </c>
      <c r="L41" s="80" t="s">
        <v>51</v>
      </c>
      <c r="M41" s="80">
        <v>8.0</v>
      </c>
      <c r="N41" s="80" t="s">
        <v>17</v>
      </c>
      <c r="O41" s="80">
        <v>8.0</v>
      </c>
      <c r="P41" s="80">
        <v>40.0</v>
      </c>
      <c r="Q41" s="226"/>
    </row>
    <row r="42">
      <c r="A42" s="123" t="s">
        <v>88</v>
      </c>
      <c r="B42" s="93" t="s">
        <v>36</v>
      </c>
      <c r="C42" s="80">
        <v>8.0</v>
      </c>
      <c r="D42" s="81" t="s">
        <v>4</v>
      </c>
      <c r="E42" s="80">
        <v>0.0</v>
      </c>
      <c r="F42" s="80" t="s">
        <v>36</v>
      </c>
      <c r="G42" s="80">
        <v>8.0</v>
      </c>
      <c r="H42" s="81" t="s">
        <v>4</v>
      </c>
      <c r="I42" s="80">
        <v>0.0</v>
      </c>
      <c r="J42" s="80" t="s">
        <v>36</v>
      </c>
      <c r="K42" s="80">
        <v>8.0</v>
      </c>
      <c r="L42" s="80" t="s">
        <v>36</v>
      </c>
      <c r="M42" s="80">
        <v>8.0</v>
      </c>
      <c r="N42" s="80" t="s">
        <v>36</v>
      </c>
      <c r="O42" s="80">
        <v>8.0</v>
      </c>
      <c r="P42" s="80">
        <v>40.0</v>
      </c>
      <c r="Q42" s="226"/>
    </row>
    <row r="43">
      <c r="A43" s="120" t="s">
        <v>70</v>
      </c>
      <c r="B43" s="234" t="s">
        <v>4</v>
      </c>
      <c r="C43" s="80">
        <v>0.0</v>
      </c>
      <c r="D43" s="80" t="s">
        <v>51</v>
      </c>
      <c r="E43" s="80">
        <v>8.0</v>
      </c>
      <c r="F43" s="80" t="s">
        <v>51</v>
      </c>
      <c r="G43" s="80">
        <v>8.0</v>
      </c>
      <c r="H43" s="80" t="s">
        <v>51</v>
      </c>
      <c r="I43" s="80">
        <v>8.0</v>
      </c>
      <c r="J43" s="80" t="s">
        <v>51</v>
      </c>
      <c r="K43" s="80">
        <v>8.0</v>
      </c>
      <c r="L43" s="80" t="s">
        <v>51</v>
      </c>
      <c r="M43" s="80">
        <v>8.0</v>
      </c>
      <c r="N43" s="81" t="s">
        <v>4</v>
      </c>
      <c r="O43" s="80">
        <v>0.0</v>
      </c>
      <c r="P43" s="80">
        <v>40.0</v>
      </c>
      <c r="Q43" s="226"/>
    </row>
    <row r="44">
      <c r="A44" s="120" t="s">
        <v>72</v>
      </c>
      <c r="B44" s="234" t="s">
        <v>4</v>
      </c>
      <c r="C44" s="80">
        <v>0.0</v>
      </c>
      <c r="D44" s="80" t="s">
        <v>51</v>
      </c>
      <c r="E44" s="80">
        <v>8.0</v>
      </c>
      <c r="F44" s="80" t="s">
        <v>51</v>
      </c>
      <c r="G44" s="80">
        <v>8.0</v>
      </c>
      <c r="H44" s="81" t="s">
        <v>4</v>
      </c>
      <c r="I44" s="80">
        <v>0.0</v>
      </c>
      <c r="J44" s="80" t="s">
        <v>51</v>
      </c>
      <c r="K44" s="80">
        <v>8.0</v>
      </c>
      <c r="L44" s="80" t="s">
        <v>51</v>
      </c>
      <c r="M44" s="80">
        <v>8.0</v>
      </c>
      <c r="N44" s="80" t="s">
        <v>51</v>
      </c>
      <c r="O44" s="80">
        <v>8.0</v>
      </c>
      <c r="P44" s="80">
        <v>40.0</v>
      </c>
      <c r="Q44" s="226"/>
    </row>
    <row r="45">
      <c r="A45" s="120" t="s">
        <v>96</v>
      </c>
      <c r="B45" s="234" t="s">
        <v>4</v>
      </c>
      <c r="C45" s="80">
        <v>0.0</v>
      </c>
      <c r="D45" s="80" t="s">
        <v>51</v>
      </c>
      <c r="E45" s="80">
        <v>8.0</v>
      </c>
      <c r="F45" s="81" t="s">
        <v>4</v>
      </c>
      <c r="G45" s="80">
        <v>0.0</v>
      </c>
      <c r="H45" s="80" t="s">
        <v>51</v>
      </c>
      <c r="I45" s="80">
        <v>8.0</v>
      </c>
      <c r="J45" s="80" t="s">
        <v>51</v>
      </c>
      <c r="K45" s="80">
        <v>8.0</v>
      </c>
      <c r="L45" s="80" t="s">
        <v>51</v>
      </c>
      <c r="M45" s="80">
        <v>8.0</v>
      </c>
      <c r="N45" s="80" t="s">
        <v>51</v>
      </c>
      <c r="O45" s="80">
        <v>8.0</v>
      </c>
      <c r="P45" s="80">
        <v>40.0</v>
      </c>
      <c r="Q45" s="226"/>
    </row>
    <row r="46">
      <c r="A46" s="120" t="s">
        <v>92</v>
      </c>
      <c r="B46" s="93" t="s">
        <v>51</v>
      </c>
      <c r="C46" s="80">
        <v>8.0</v>
      </c>
      <c r="D46" s="81" t="s">
        <v>4</v>
      </c>
      <c r="E46" s="80">
        <v>0.0</v>
      </c>
      <c r="F46" s="81" t="s">
        <v>4</v>
      </c>
      <c r="G46" s="80">
        <v>0.0</v>
      </c>
      <c r="H46" s="80" t="s">
        <v>51</v>
      </c>
      <c r="I46" s="80">
        <v>8.0</v>
      </c>
      <c r="J46" s="80" t="s">
        <v>51</v>
      </c>
      <c r="K46" s="80">
        <v>8.0</v>
      </c>
      <c r="L46" s="80" t="s">
        <v>51</v>
      </c>
      <c r="M46" s="80">
        <v>8.0</v>
      </c>
      <c r="N46" s="80" t="s">
        <v>51</v>
      </c>
      <c r="O46" s="80">
        <v>8.0</v>
      </c>
      <c r="P46" s="80">
        <v>40.0</v>
      </c>
      <c r="Q46" s="226"/>
    </row>
    <row r="47">
      <c r="A47" s="124" t="s">
        <v>76</v>
      </c>
      <c r="B47" s="234" t="s">
        <v>4</v>
      </c>
      <c r="C47" s="80">
        <v>0.0</v>
      </c>
      <c r="D47" s="81" t="s">
        <v>4</v>
      </c>
      <c r="E47" s="80">
        <v>0.0</v>
      </c>
      <c r="F47" s="80" t="s">
        <v>51</v>
      </c>
      <c r="G47" s="80">
        <v>8.0</v>
      </c>
      <c r="H47" s="80" t="s">
        <v>51</v>
      </c>
      <c r="I47" s="80">
        <v>8.0</v>
      </c>
      <c r="J47" s="80" t="s">
        <v>51</v>
      </c>
      <c r="K47" s="80">
        <v>8.0</v>
      </c>
      <c r="L47" s="80" t="s">
        <v>51</v>
      </c>
      <c r="M47" s="80">
        <v>8.0</v>
      </c>
      <c r="N47" s="80" t="s">
        <v>51</v>
      </c>
      <c r="O47" s="80">
        <v>8.0</v>
      </c>
      <c r="P47" s="80">
        <v>40.0</v>
      </c>
      <c r="Q47" s="226"/>
    </row>
    <row r="48">
      <c r="A48" s="120" t="s">
        <v>74</v>
      </c>
      <c r="B48" s="234" t="s">
        <v>4</v>
      </c>
      <c r="C48" s="80">
        <v>0.0</v>
      </c>
      <c r="D48" s="80" t="s">
        <v>17</v>
      </c>
      <c r="E48" s="80">
        <v>8.0</v>
      </c>
      <c r="F48" s="80" t="s">
        <v>17</v>
      </c>
      <c r="G48" s="80">
        <v>8.0</v>
      </c>
      <c r="H48" s="80" t="s">
        <v>17</v>
      </c>
      <c r="I48" s="80">
        <v>8.0</v>
      </c>
      <c r="J48" s="80" t="s">
        <v>17</v>
      </c>
      <c r="K48" s="80">
        <v>8.0</v>
      </c>
      <c r="L48" s="80" t="s">
        <v>17</v>
      </c>
      <c r="M48" s="80">
        <v>8.0</v>
      </c>
      <c r="N48" s="81" t="s">
        <v>4</v>
      </c>
      <c r="O48" s="80">
        <v>0.0</v>
      </c>
      <c r="P48" s="80">
        <v>40.0</v>
      </c>
      <c r="Q48" s="226"/>
    </row>
    <row r="49">
      <c r="A49" s="120" t="s">
        <v>84</v>
      </c>
      <c r="B49" s="93" t="s">
        <v>51</v>
      </c>
      <c r="C49" s="80">
        <v>8.0</v>
      </c>
      <c r="D49" s="80" t="s">
        <v>51</v>
      </c>
      <c r="E49" s="80">
        <v>8.0</v>
      </c>
      <c r="F49" s="81" t="s">
        <v>4</v>
      </c>
      <c r="G49" s="80">
        <v>0.0</v>
      </c>
      <c r="H49" s="81" t="s">
        <v>4</v>
      </c>
      <c r="I49" s="80">
        <v>0.0</v>
      </c>
      <c r="J49" s="80" t="s">
        <v>51</v>
      </c>
      <c r="K49" s="80">
        <v>8.0</v>
      </c>
      <c r="L49" s="80" t="s">
        <v>51</v>
      </c>
      <c r="M49" s="80">
        <v>8.0</v>
      </c>
      <c r="N49" s="80" t="s">
        <v>51</v>
      </c>
      <c r="O49" s="80">
        <v>8.0</v>
      </c>
      <c r="P49" s="80">
        <v>40.0</v>
      </c>
      <c r="Q49" s="226"/>
    </row>
    <row r="50">
      <c r="A50" s="120" t="s">
        <v>98</v>
      </c>
      <c r="B50" s="93" t="s">
        <v>51</v>
      </c>
      <c r="C50" s="80">
        <v>8.0</v>
      </c>
      <c r="D50" s="81" t="s">
        <v>4</v>
      </c>
      <c r="E50" s="80">
        <v>0.0</v>
      </c>
      <c r="F50" s="81" t="s">
        <v>4</v>
      </c>
      <c r="G50" s="80">
        <v>0.0</v>
      </c>
      <c r="H50" s="80" t="s">
        <v>51</v>
      </c>
      <c r="I50" s="80">
        <v>8.0</v>
      </c>
      <c r="J50" s="80" t="s">
        <v>51</v>
      </c>
      <c r="K50" s="80">
        <v>8.0</v>
      </c>
      <c r="L50" s="80" t="s">
        <v>51</v>
      </c>
      <c r="M50" s="80">
        <v>8.0</v>
      </c>
      <c r="N50" s="80" t="s">
        <v>51</v>
      </c>
      <c r="O50" s="80">
        <v>8.0</v>
      </c>
      <c r="P50" s="80">
        <v>40.0</v>
      </c>
      <c r="Q50" s="226"/>
    </row>
    <row r="51">
      <c r="A51" s="120" t="s">
        <v>80</v>
      </c>
      <c r="B51" s="93" t="s">
        <v>64</v>
      </c>
      <c r="C51" s="80">
        <v>8.0</v>
      </c>
      <c r="D51" s="80" t="s">
        <v>64</v>
      </c>
      <c r="E51" s="80">
        <v>8.0</v>
      </c>
      <c r="F51" s="81" t="s">
        <v>4</v>
      </c>
      <c r="G51" s="80">
        <v>0.0</v>
      </c>
      <c r="H51" s="80" t="s">
        <v>64</v>
      </c>
      <c r="I51" s="80">
        <v>8.0</v>
      </c>
      <c r="J51" s="80" t="s">
        <v>11</v>
      </c>
      <c r="K51" s="80">
        <v>8.0</v>
      </c>
      <c r="L51" s="80" t="s">
        <v>11</v>
      </c>
      <c r="M51" s="80">
        <v>8.0</v>
      </c>
      <c r="N51" s="81" t="s">
        <v>4</v>
      </c>
      <c r="O51" s="80">
        <v>0.0</v>
      </c>
      <c r="P51" s="80">
        <v>40.0</v>
      </c>
      <c r="Q51" s="226"/>
    </row>
    <row r="52">
      <c r="A52" s="123" t="s">
        <v>78</v>
      </c>
      <c r="B52" s="93" t="s">
        <v>51</v>
      </c>
      <c r="C52" s="80">
        <v>8.0</v>
      </c>
      <c r="D52" s="80" t="s">
        <v>51</v>
      </c>
      <c r="E52" s="80">
        <v>8.0</v>
      </c>
      <c r="F52" s="81" t="s">
        <v>4</v>
      </c>
      <c r="G52" s="80">
        <v>0.0</v>
      </c>
      <c r="H52" s="81" t="s">
        <v>4</v>
      </c>
      <c r="I52" s="80">
        <v>0.0</v>
      </c>
      <c r="J52" s="80" t="s">
        <v>51</v>
      </c>
      <c r="K52" s="80">
        <v>8.0</v>
      </c>
      <c r="L52" s="80" t="s">
        <v>51</v>
      </c>
      <c r="M52" s="80">
        <v>8.0</v>
      </c>
      <c r="N52" s="80" t="s">
        <v>51</v>
      </c>
      <c r="O52" s="80">
        <v>8.0</v>
      </c>
      <c r="P52" s="80">
        <v>40.0</v>
      </c>
      <c r="Q52" s="226"/>
    </row>
    <row r="53">
      <c r="A53" s="120" t="s">
        <v>94</v>
      </c>
      <c r="B53" s="93" t="s">
        <v>36</v>
      </c>
      <c r="C53" s="80">
        <v>8.0</v>
      </c>
      <c r="D53" s="81" t="s">
        <v>4</v>
      </c>
      <c r="E53" s="80">
        <v>0.0</v>
      </c>
      <c r="F53" s="80" t="s">
        <v>36</v>
      </c>
      <c r="G53" s="80">
        <v>8.0</v>
      </c>
      <c r="H53" s="80" t="s">
        <v>36</v>
      </c>
      <c r="I53" s="80">
        <v>8.0</v>
      </c>
      <c r="J53" s="80" t="s">
        <v>36</v>
      </c>
      <c r="K53" s="80">
        <v>8.0</v>
      </c>
      <c r="L53" s="80" t="s">
        <v>36</v>
      </c>
      <c r="M53" s="80">
        <v>8.0</v>
      </c>
      <c r="N53" s="81" t="s">
        <v>4</v>
      </c>
      <c r="O53" s="80">
        <v>0.0</v>
      </c>
      <c r="P53" s="80">
        <v>40.0</v>
      </c>
      <c r="Q53" s="226"/>
    </row>
    <row r="54">
      <c r="A54" s="124" t="s">
        <v>86</v>
      </c>
      <c r="B54" s="234" t="s">
        <v>4</v>
      </c>
      <c r="C54" s="80">
        <v>0.0</v>
      </c>
      <c r="D54" s="81" t="s">
        <v>4</v>
      </c>
      <c r="E54" s="80">
        <v>0.0</v>
      </c>
      <c r="F54" s="80" t="s">
        <v>17</v>
      </c>
      <c r="G54" s="80">
        <v>8.0</v>
      </c>
      <c r="H54" s="80" t="s">
        <v>17</v>
      </c>
      <c r="I54" s="80">
        <v>8.0</v>
      </c>
      <c r="J54" s="80" t="s">
        <v>17</v>
      </c>
      <c r="K54" s="80">
        <v>8.0</v>
      </c>
      <c r="L54" s="80" t="s">
        <v>17</v>
      </c>
      <c r="M54" s="80">
        <v>8.0</v>
      </c>
      <c r="N54" s="80" t="s">
        <v>51</v>
      </c>
      <c r="O54" s="80">
        <v>8.0</v>
      </c>
      <c r="P54" s="80">
        <v>40.0</v>
      </c>
      <c r="Q54" s="226"/>
    </row>
    <row r="55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9" t="s">
        <v>183</v>
      </c>
      <c r="O55" s="98"/>
      <c r="P55" s="98"/>
      <c r="Q55" s="98"/>
    </row>
    <row r="56">
      <c r="A56" s="221" t="s">
        <v>184</v>
      </c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</row>
    <row r="57">
      <c r="A57" s="116" t="s">
        <v>65</v>
      </c>
      <c r="B57" s="117" t="s">
        <v>185</v>
      </c>
      <c r="C57" s="118"/>
      <c r="D57" s="117" t="s">
        <v>186</v>
      </c>
      <c r="E57" s="118"/>
      <c r="F57" s="117" t="s">
        <v>187</v>
      </c>
      <c r="G57" s="118"/>
      <c r="H57" s="117" t="s">
        <v>188</v>
      </c>
      <c r="I57" s="118"/>
      <c r="J57" s="117" t="s">
        <v>189</v>
      </c>
      <c r="K57" s="118"/>
      <c r="L57" s="117" t="s">
        <v>190</v>
      </c>
      <c r="M57" s="118"/>
      <c r="N57" s="117" t="s">
        <v>191</v>
      </c>
      <c r="O57" s="118"/>
      <c r="P57" s="117" t="s">
        <v>107</v>
      </c>
      <c r="Q57" s="224" t="s">
        <v>332</v>
      </c>
    </row>
    <row r="58">
      <c r="A58" s="120" t="s">
        <v>82</v>
      </c>
      <c r="B58" s="90" t="s">
        <v>51</v>
      </c>
      <c r="C58" s="91">
        <v>8.0</v>
      </c>
      <c r="D58" s="91" t="s">
        <v>51</v>
      </c>
      <c r="E58" s="91">
        <v>8.0</v>
      </c>
      <c r="F58" s="92" t="s">
        <v>4</v>
      </c>
      <c r="G58" s="91">
        <v>0.0</v>
      </c>
      <c r="H58" s="91" t="s">
        <v>164</v>
      </c>
      <c r="I58" s="91">
        <v>8.0</v>
      </c>
      <c r="J58" s="91" t="s">
        <v>51</v>
      </c>
      <c r="K58" s="91">
        <v>8.0</v>
      </c>
      <c r="L58" s="91" t="s">
        <v>51</v>
      </c>
      <c r="M58" s="91">
        <v>8.0</v>
      </c>
      <c r="N58" s="92" t="s">
        <v>4</v>
      </c>
      <c r="O58" s="91">
        <v>0.0</v>
      </c>
      <c r="P58" s="80">
        <v>40.0</v>
      </c>
      <c r="Q58" s="226"/>
    </row>
    <row r="59">
      <c r="A59" s="123" t="s">
        <v>90</v>
      </c>
      <c r="B59" s="81" t="s">
        <v>4</v>
      </c>
      <c r="C59" s="80">
        <v>0.0</v>
      </c>
      <c r="D59" s="80" t="s">
        <v>51</v>
      </c>
      <c r="E59" s="80">
        <v>8.0</v>
      </c>
      <c r="F59" s="80" t="s">
        <v>15</v>
      </c>
      <c r="G59" s="80">
        <v>4.0</v>
      </c>
      <c r="H59" s="81" t="s">
        <v>4</v>
      </c>
      <c r="I59" s="80">
        <v>0.0</v>
      </c>
      <c r="J59" s="80" t="s">
        <v>51</v>
      </c>
      <c r="K59" s="80">
        <v>8.0</v>
      </c>
      <c r="L59" s="80" t="s">
        <v>51</v>
      </c>
      <c r="M59" s="80">
        <v>8.0</v>
      </c>
      <c r="N59" s="80" t="s">
        <v>17</v>
      </c>
      <c r="O59" s="80">
        <v>8.0</v>
      </c>
      <c r="P59" s="80">
        <v>48.0</v>
      </c>
      <c r="Q59" s="226"/>
    </row>
    <row r="60">
      <c r="A60" s="123" t="s">
        <v>88</v>
      </c>
      <c r="B60" s="93" t="s">
        <v>36</v>
      </c>
      <c r="C60" s="80">
        <v>8.0</v>
      </c>
      <c r="D60" s="81" t="s">
        <v>4</v>
      </c>
      <c r="E60" s="80">
        <v>0.0</v>
      </c>
      <c r="F60" s="80" t="s">
        <v>15</v>
      </c>
      <c r="G60" s="80">
        <v>4.0</v>
      </c>
      <c r="H60" s="81" t="s">
        <v>4</v>
      </c>
      <c r="I60" s="80">
        <v>0.0</v>
      </c>
      <c r="J60" s="80" t="s">
        <v>36</v>
      </c>
      <c r="K60" s="80">
        <v>8.0</v>
      </c>
      <c r="L60" s="80" t="s">
        <v>36</v>
      </c>
      <c r="M60" s="80">
        <v>8.0</v>
      </c>
      <c r="N60" s="80" t="s">
        <v>36</v>
      </c>
      <c r="O60" s="80">
        <v>8.0</v>
      </c>
      <c r="P60" s="80">
        <v>36.0</v>
      </c>
      <c r="Q60" s="226"/>
    </row>
    <row r="61">
      <c r="A61" s="120" t="s">
        <v>70</v>
      </c>
      <c r="B61" s="80" t="s">
        <v>51</v>
      </c>
      <c r="C61" s="80">
        <v>8.0</v>
      </c>
      <c r="D61" s="80" t="s">
        <v>51</v>
      </c>
      <c r="E61" s="80">
        <v>8.0</v>
      </c>
      <c r="F61" s="80" t="s">
        <v>15</v>
      </c>
      <c r="G61" s="80">
        <v>4.0</v>
      </c>
      <c r="H61" s="80" t="s">
        <v>164</v>
      </c>
      <c r="I61" s="80">
        <v>8.0</v>
      </c>
      <c r="J61" s="80" t="s">
        <v>164</v>
      </c>
      <c r="K61" s="80">
        <v>8.0</v>
      </c>
      <c r="L61" s="80" t="s">
        <v>51</v>
      </c>
      <c r="M61" s="80">
        <v>8.0</v>
      </c>
      <c r="N61" s="81" t="s">
        <v>4</v>
      </c>
      <c r="O61" s="80">
        <v>0.0</v>
      </c>
      <c r="P61" s="80">
        <v>44.0</v>
      </c>
      <c r="Q61" s="226"/>
    </row>
    <row r="62">
      <c r="A62" s="120" t="s">
        <v>72</v>
      </c>
      <c r="B62" s="93" t="s">
        <v>51</v>
      </c>
      <c r="C62" s="80">
        <v>8.0</v>
      </c>
      <c r="D62" s="80" t="s">
        <v>51</v>
      </c>
      <c r="E62" s="80">
        <v>8.0</v>
      </c>
      <c r="F62" s="81" t="s">
        <v>4</v>
      </c>
      <c r="G62" s="80">
        <v>0.0</v>
      </c>
      <c r="H62" s="81" t="s">
        <v>4</v>
      </c>
      <c r="I62" s="80">
        <v>0.0</v>
      </c>
      <c r="J62" s="80" t="s">
        <v>51</v>
      </c>
      <c r="K62" s="80">
        <v>8.0</v>
      </c>
      <c r="L62" s="80" t="s">
        <v>51</v>
      </c>
      <c r="M62" s="80">
        <v>8.0</v>
      </c>
      <c r="N62" s="80" t="s">
        <v>51</v>
      </c>
      <c r="O62" s="80">
        <v>8.0</v>
      </c>
      <c r="P62" s="80">
        <v>40.0</v>
      </c>
      <c r="Q62" s="226"/>
    </row>
    <row r="63">
      <c r="A63" s="120" t="s">
        <v>96</v>
      </c>
      <c r="B63" s="93" t="s">
        <v>51</v>
      </c>
      <c r="C63" s="80">
        <v>8.0</v>
      </c>
      <c r="D63" s="80" t="s">
        <v>51</v>
      </c>
      <c r="E63" s="80">
        <v>8.0</v>
      </c>
      <c r="F63" s="81" t="s">
        <v>4</v>
      </c>
      <c r="G63" s="80">
        <v>0.0</v>
      </c>
      <c r="H63" s="80" t="s">
        <v>164</v>
      </c>
      <c r="I63" s="80">
        <v>0.0</v>
      </c>
      <c r="J63" s="80" t="s">
        <v>51</v>
      </c>
      <c r="K63" s="80">
        <v>8.0</v>
      </c>
      <c r="L63" s="80" t="s">
        <v>51</v>
      </c>
      <c r="M63" s="80">
        <v>8.0</v>
      </c>
      <c r="N63" s="80" t="s">
        <v>51</v>
      </c>
      <c r="O63" s="80">
        <v>8.0</v>
      </c>
      <c r="P63" s="80">
        <v>48.0</v>
      </c>
      <c r="Q63" s="226"/>
    </row>
    <row r="64">
      <c r="A64" s="120" t="s">
        <v>92</v>
      </c>
      <c r="B64" s="93" t="s">
        <v>51</v>
      </c>
      <c r="C64" s="80">
        <v>8.0</v>
      </c>
      <c r="D64" s="81" t="s">
        <v>4</v>
      </c>
      <c r="E64" s="80">
        <v>0.0</v>
      </c>
      <c r="F64" s="81" t="s">
        <v>4</v>
      </c>
      <c r="G64" s="80">
        <v>0.0</v>
      </c>
      <c r="H64" s="80" t="s">
        <v>164</v>
      </c>
      <c r="I64" s="80">
        <v>8.0</v>
      </c>
      <c r="J64" s="80" t="s">
        <v>51</v>
      </c>
      <c r="K64" s="80">
        <v>8.0</v>
      </c>
      <c r="L64" s="80" t="s">
        <v>51</v>
      </c>
      <c r="M64" s="80">
        <v>8.0</v>
      </c>
      <c r="N64" s="80" t="s">
        <v>51</v>
      </c>
      <c r="O64" s="80">
        <v>8.0</v>
      </c>
      <c r="P64" s="80">
        <v>40.0</v>
      </c>
      <c r="Q64" s="226"/>
    </row>
    <row r="65">
      <c r="A65" s="124" t="s">
        <v>76</v>
      </c>
      <c r="B65" s="93" t="s">
        <v>51</v>
      </c>
      <c r="C65" s="80">
        <v>8.0</v>
      </c>
      <c r="D65" s="81" t="s">
        <v>4</v>
      </c>
      <c r="E65" s="80">
        <v>0.0</v>
      </c>
      <c r="F65" s="80" t="s">
        <v>15</v>
      </c>
      <c r="G65" s="80">
        <v>4.0</v>
      </c>
      <c r="H65" s="80" t="s">
        <v>164</v>
      </c>
      <c r="I65" s="80">
        <v>0.0</v>
      </c>
      <c r="J65" s="80" t="s">
        <v>51</v>
      </c>
      <c r="K65" s="80">
        <v>8.0</v>
      </c>
      <c r="L65" s="80" t="s">
        <v>51</v>
      </c>
      <c r="M65" s="80">
        <v>8.0</v>
      </c>
      <c r="N65" s="80" t="s">
        <v>51</v>
      </c>
      <c r="O65" s="80">
        <v>8.0</v>
      </c>
      <c r="P65" s="80">
        <v>44.0</v>
      </c>
      <c r="Q65" s="226"/>
    </row>
    <row r="66">
      <c r="A66" s="120" t="s">
        <v>74</v>
      </c>
      <c r="B66" s="93" t="s">
        <v>17</v>
      </c>
      <c r="C66" s="80">
        <v>8.0</v>
      </c>
      <c r="D66" s="80" t="s">
        <v>17</v>
      </c>
      <c r="E66" s="80">
        <v>8.0</v>
      </c>
      <c r="F66" s="80" t="s">
        <v>15</v>
      </c>
      <c r="G66" s="80">
        <v>4.0</v>
      </c>
      <c r="H66" s="80" t="s">
        <v>164</v>
      </c>
      <c r="I66" s="80">
        <v>0.0</v>
      </c>
      <c r="J66" s="80" t="s">
        <v>17</v>
      </c>
      <c r="K66" s="80">
        <v>8.0</v>
      </c>
      <c r="L66" s="80" t="s">
        <v>17</v>
      </c>
      <c r="M66" s="80">
        <v>8.0</v>
      </c>
      <c r="N66" s="81" t="s">
        <v>4</v>
      </c>
      <c r="O66" s="80">
        <v>0.0</v>
      </c>
      <c r="P66" s="80">
        <v>44.0</v>
      </c>
      <c r="Q66" s="226"/>
    </row>
    <row r="67">
      <c r="A67" s="120" t="s">
        <v>84</v>
      </c>
      <c r="B67" s="97" t="s">
        <v>194</v>
      </c>
      <c r="C67" s="80">
        <v>4.0</v>
      </c>
      <c r="D67" s="80" t="s">
        <v>51</v>
      </c>
      <c r="E67" s="80">
        <v>8.0</v>
      </c>
      <c r="F67" s="81" t="s">
        <v>4</v>
      </c>
      <c r="G67" s="80">
        <v>0.0</v>
      </c>
      <c r="H67" s="81" t="s">
        <v>4</v>
      </c>
      <c r="I67" s="80">
        <v>0.0</v>
      </c>
      <c r="J67" s="80" t="s">
        <v>51</v>
      </c>
      <c r="K67" s="80">
        <v>8.0</v>
      </c>
      <c r="L67" s="80" t="s">
        <v>51</v>
      </c>
      <c r="M67" s="80">
        <v>8.0</v>
      </c>
      <c r="N67" s="80" t="s">
        <v>51</v>
      </c>
      <c r="O67" s="80">
        <v>8.0</v>
      </c>
      <c r="P67" s="80">
        <v>40.0</v>
      </c>
      <c r="Q67" s="226"/>
    </row>
    <row r="68">
      <c r="A68" s="120" t="s">
        <v>98</v>
      </c>
      <c r="B68" s="93" t="s">
        <v>51</v>
      </c>
      <c r="C68" s="80">
        <v>8.0</v>
      </c>
      <c r="D68" s="96" t="s">
        <v>194</v>
      </c>
      <c r="E68" s="96">
        <v>4.0</v>
      </c>
      <c r="F68" s="80" t="s">
        <v>15</v>
      </c>
      <c r="G68" s="80">
        <v>4.0</v>
      </c>
      <c r="H68" s="80" t="s">
        <v>164</v>
      </c>
      <c r="I68" s="80">
        <v>0.0</v>
      </c>
      <c r="J68" s="80" t="s">
        <v>51</v>
      </c>
      <c r="K68" s="80">
        <v>8.0</v>
      </c>
      <c r="L68" s="80" t="s">
        <v>51</v>
      </c>
      <c r="M68" s="80">
        <v>8.0</v>
      </c>
      <c r="N68" s="80" t="s">
        <v>51</v>
      </c>
      <c r="O68" s="80">
        <v>8.0</v>
      </c>
      <c r="P68" s="80">
        <v>44.0</v>
      </c>
      <c r="Q68" s="226"/>
    </row>
    <row r="69">
      <c r="A69" s="120" t="s">
        <v>80</v>
      </c>
      <c r="B69" s="93" t="s">
        <v>64</v>
      </c>
      <c r="C69" s="80">
        <v>8.0</v>
      </c>
      <c r="D69" s="80" t="s">
        <v>64</v>
      </c>
      <c r="E69" s="80">
        <v>8.0</v>
      </c>
      <c r="F69" s="81" t="s">
        <v>4</v>
      </c>
      <c r="G69" s="80">
        <v>0.0</v>
      </c>
      <c r="H69" s="80" t="s">
        <v>164</v>
      </c>
      <c r="I69" s="80">
        <v>8.0</v>
      </c>
      <c r="J69" s="80" t="s">
        <v>11</v>
      </c>
      <c r="K69" s="80">
        <v>8.0</v>
      </c>
      <c r="L69" s="80" t="s">
        <v>11</v>
      </c>
      <c r="M69" s="80">
        <v>8.0</v>
      </c>
      <c r="N69" s="81" t="s">
        <v>4</v>
      </c>
      <c r="O69" s="80">
        <v>0.0</v>
      </c>
      <c r="P69" s="80">
        <v>44.0</v>
      </c>
      <c r="Q69" s="226"/>
    </row>
    <row r="70">
      <c r="A70" s="123" t="s">
        <v>78</v>
      </c>
      <c r="B70" s="97" t="s">
        <v>194</v>
      </c>
      <c r="C70" s="96">
        <v>4.0</v>
      </c>
      <c r="D70" s="80" t="s">
        <v>51</v>
      </c>
      <c r="E70" s="80">
        <v>8.0</v>
      </c>
      <c r="F70" s="80" t="s">
        <v>15</v>
      </c>
      <c r="G70" s="80">
        <v>4.0</v>
      </c>
      <c r="H70" s="81" t="s">
        <v>4</v>
      </c>
      <c r="I70" s="80">
        <v>0.0</v>
      </c>
      <c r="J70" s="80" t="s">
        <v>51</v>
      </c>
      <c r="K70" s="80">
        <v>8.0</v>
      </c>
      <c r="L70" s="80" t="s">
        <v>51</v>
      </c>
      <c r="M70" s="80">
        <v>8.0</v>
      </c>
      <c r="N70" s="80" t="s">
        <v>51</v>
      </c>
      <c r="O70" s="80">
        <v>8.0</v>
      </c>
      <c r="P70" s="80">
        <v>36.0</v>
      </c>
      <c r="Q70" s="226"/>
    </row>
    <row r="71">
      <c r="A71" s="120" t="s">
        <v>94</v>
      </c>
      <c r="B71" s="93" t="s">
        <v>36</v>
      </c>
      <c r="C71" s="80">
        <v>8.0</v>
      </c>
      <c r="D71" s="80" t="s">
        <v>36</v>
      </c>
      <c r="E71" s="80">
        <v>8.0</v>
      </c>
      <c r="F71" s="80" t="s">
        <v>15</v>
      </c>
      <c r="G71" s="80">
        <v>4.0</v>
      </c>
      <c r="H71" s="80" t="s">
        <v>164</v>
      </c>
      <c r="I71" s="80">
        <v>8.0</v>
      </c>
      <c r="J71" s="80" t="s">
        <v>36</v>
      </c>
      <c r="K71" s="80">
        <v>8.0</v>
      </c>
      <c r="L71" s="80" t="s">
        <v>36</v>
      </c>
      <c r="M71" s="80">
        <v>8.0</v>
      </c>
      <c r="N71" s="81" t="s">
        <v>4</v>
      </c>
      <c r="O71" s="80">
        <v>0.0</v>
      </c>
      <c r="P71" s="80">
        <v>40.0</v>
      </c>
      <c r="Q71" s="226"/>
    </row>
    <row r="72">
      <c r="A72" s="124" t="s">
        <v>86</v>
      </c>
      <c r="B72" s="234" t="s">
        <v>4</v>
      </c>
      <c r="C72" s="80">
        <v>0.0</v>
      </c>
      <c r="D72" s="81" t="s">
        <v>4</v>
      </c>
      <c r="E72" s="80">
        <v>0.0</v>
      </c>
      <c r="F72" s="80" t="s">
        <v>15</v>
      </c>
      <c r="G72" s="80">
        <v>4.0</v>
      </c>
      <c r="H72" s="80" t="s">
        <v>164</v>
      </c>
      <c r="I72" s="80">
        <v>8.0</v>
      </c>
      <c r="J72" s="80" t="s">
        <v>17</v>
      </c>
      <c r="K72" s="80">
        <v>8.0</v>
      </c>
      <c r="L72" s="80" t="s">
        <v>17</v>
      </c>
      <c r="M72" s="80">
        <v>8.0</v>
      </c>
      <c r="N72" s="80" t="s">
        <v>51</v>
      </c>
      <c r="O72" s="80">
        <v>8.0</v>
      </c>
      <c r="P72" s="80">
        <v>44.0</v>
      </c>
      <c r="Q72" s="226"/>
    </row>
    <row r="73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9" t="s">
        <v>183</v>
      </c>
      <c r="O73" s="98"/>
      <c r="P73" s="98"/>
      <c r="Q73" s="98"/>
    </row>
    <row r="74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</row>
    <row r="75">
      <c r="A75" s="235" t="s">
        <v>337</v>
      </c>
      <c r="B75" s="223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</row>
    <row r="76">
      <c r="A76" s="236" t="s">
        <v>65</v>
      </c>
      <c r="B76" s="237" t="s">
        <v>197</v>
      </c>
      <c r="C76" s="238"/>
      <c r="D76" s="237" t="s">
        <v>198</v>
      </c>
      <c r="E76" s="238"/>
      <c r="F76" s="237" t="s">
        <v>199</v>
      </c>
      <c r="G76" s="238"/>
      <c r="H76" s="237" t="s">
        <v>200</v>
      </c>
      <c r="I76" s="238"/>
      <c r="J76" s="237" t="s">
        <v>201</v>
      </c>
      <c r="K76" s="238"/>
      <c r="L76" s="237" t="s">
        <v>202</v>
      </c>
      <c r="M76" s="238"/>
      <c r="N76" s="237" t="s">
        <v>203</v>
      </c>
      <c r="O76" s="238"/>
      <c r="P76" s="237" t="s">
        <v>107</v>
      </c>
      <c r="Q76" s="224" t="s">
        <v>332</v>
      </c>
    </row>
    <row r="77">
      <c r="A77" s="120" t="s">
        <v>82</v>
      </c>
      <c r="B77" s="97" t="s">
        <v>194</v>
      </c>
      <c r="C77" s="96">
        <v>4.0</v>
      </c>
      <c r="D77" s="107" t="s">
        <v>51</v>
      </c>
      <c r="E77" s="107">
        <v>8.0</v>
      </c>
      <c r="F77" s="80" t="s">
        <v>15</v>
      </c>
      <c r="G77" s="80">
        <v>4.0</v>
      </c>
      <c r="H77" s="107" t="s">
        <v>164</v>
      </c>
      <c r="I77" s="107">
        <v>8.0</v>
      </c>
      <c r="J77" s="107" t="s">
        <v>51</v>
      </c>
      <c r="K77" s="107">
        <v>8.0</v>
      </c>
      <c r="L77" s="107" t="s">
        <v>51</v>
      </c>
      <c r="M77" s="107">
        <v>8.0</v>
      </c>
      <c r="N77" s="159" t="s">
        <v>4</v>
      </c>
      <c r="O77" s="107">
        <v>0.0</v>
      </c>
      <c r="P77" s="96">
        <v>44.0</v>
      </c>
      <c r="Q77" s="226"/>
    </row>
    <row r="78">
      <c r="A78" s="123" t="s">
        <v>90</v>
      </c>
      <c r="B78" s="97" t="s">
        <v>194</v>
      </c>
      <c r="C78" s="96">
        <v>4.0</v>
      </c>
      <c r="D78" s="96" t="s">
        <v>51</v>
      </c>
      <c r="E78" s="96">
        <v>8.0</v>
      </c>
      <c r="F78" s="112" t="s">
        <v>4</v>
      </c>
      <c r="G78" s="96">
        <v>0.0</v>
      </c>
      <c r="H78" s="96" t="s">
        <v>164</v>
      </c>
      <c r="I78" s="96">
        <v>8.0</v>
      </c>
      <c r="J78" s="96" t="s">
        <v>51</v>
      </c>
      <c r="K78" s="96">
        <v>8.0</v>
      </c>
      <c r="L78" s="96" t="s">
        <v>51</v>
      </c>
      <c r="M78" s="96">
        <v>8.0</v>
      </c>
      <c r="N78" s="80" t="s">
        <v>17</v>
      </c>
      <c r="O78" s="80">
        <v>8.0</v>
      </c>
      <c r="P78" s="96">
        <v>44.0</v>
      </c>
      <c r="Q78" s="226"/>
    </row>
    <row r="79">
      <c r="A79" s="123" t="s">
        <v>88</v>
      </c>
      <c r="B79" s="97" t="s">
        <v>36</v>
      </c>
      <c r="C79" s="96">
        <v>8.0</v>
      </c>
      <c r="D79" s="96" t="s">
        <v>194</v>
      </c>
      <c r="E79" s="96">
        <v>4.0</v>
      </c>
      <c r="F79" s="112" t="s">
        <v>4</v>
      </c>
      <c r="G79" s="96">
        <v>0.0</v>
      </c>
      <c r="H79" s="96" t="s">
        <v>164</v>
      </c>
      <c r="I79" s="96">
        <v>8.0</v>
      </c>
      <c r="J79" s="96" t="s">
        <v>36</v>
      </c>
      <c r="K79" s="96">
        <v>8.0</v>
      </c>
      <c r="L79" s="96" t="s">
        <v>36</v>
      </c>
      <c r="M79" s="96">
        <v>8.0</v>
      </c>
      <c r="N79" s="80" t="s">
        <v>36</v>
      </c>
      <c r="O79" s="80">
        <v>8.0</v>
      </c>
      <c r="P79" s="96">
        <v>32.0</v>
      </c>
      <c r="Q79" s="226"/>
    </row>
    <row r="80">
      <c r="A80" s="120" t="s">
        <v>70</v>
      </c>
      <c r="B80" s="97" t="s">
        <v>194</v>
      </c>
      <c r="C80" s="96">
        <v>4.0</v>
      </c>
      <c r="D80" s="96" t="s">
        <v>51</v>
      </c>
      <c r="E80" s="96">
        <v>8.0</v>
      </c>
      <c r="F80" s="112" t="s">
        <v>4</v>
      </c>
      <c r="G80" s="96">
        <v>0.0</v>
      </c>
      <c r="H80" s="96" t="s">
        <v>164</v>
      </c>
      <c r="I80" s="96">
        <v>8.0</v>
      </c>
      <c r="J80" s="96" t="s">
        <v>51</v>
      </c>
      <c r="K80" s="96">
        <v>8.0</v>
      </c>
      <c r="L80" s="96" t="s">
        <v>51</v>
      </c>
      <c r="M80" s="96">
        <v>8.0</v>
      </c>
      <c r="N80" s="112" t="s">
        <v>4</v>
      </c>
      <c r="O80" s="96">
        <v>0.0</v>
      </c>
      <c r="P80" s="96">
        <v>40.0</v>
      </c>
      <c r="Q80" s="226"/>
    </row>
    <row r="81">
      <c r="A81" s="120" t="s">
        <v>72</v>
      </c>
      <c r="B81" s="97" t="s">
        <v>194</v>
      </c>
      <c r="C81" s="96">
        <v>4.0</v>
      </c>
      <c r="D81" s="96" t="s">
        <v>51</v>
      </c>
      <c r="E81" s="96">
        <v>8.0</v>
      </c>
      <c r="F81" s="80" t="s">
        <v>15</v>
      </c>
      <c r="G81" s="80">
        <v>4.0</v>
      </c>
      <c r="H81" s="96" t="s">
        <v>164</v>
      </c>
      <c r="I81" s="96">
        <v>8.0</v>
      </c>
      <c r="J81" s="96" t="s">
        <v>51</v>
      </c>
      <c r="K81" s="96">
        <v>8.0</v>
      </c>
      <c r="L81" s="96" t="s">
        <v>51</v>
      </c>
      <c r="M81" s="96">
        <v>8.0</v>
      </c>
      <c r="N81" s="112" t="s">
        <v>4</v>
      </c>
      <c r="O81" s="96">
        <v>0.0</v>
      </c>
      <c r="P81" s="96">
        <v>36.0</v>
      </c>
      <c r="Q81" s="226"/>
    </row>
    <row r="82">
      <c r="A82" s="120" t="s">
        <v>96</v>
      </c>
      <c r="B82" s="97" t="s">
        <v>194</v>
      </c>
      <c r="C82" s="96">
        <v>4.0</v>
      </c>
      <c r="D82" s="96" t="s">
        <v>51</v>
      </c>
      <c r="E82" s="96">
        <v>8.0</v>
      </c>
      <c r="F82" s="80" t="s">
        <v>15</v>
      </c>
      <c r="G82" s="80">
        <v>4.0</v>
      </c>
      <c r="H82" s="96" t="s">
        <v>164</v>
      </c>
      <c r="I82" s="96">
        <v>0.0</v>
      </c>
      <c r="J82" s="96" t="s">
        <v>51</v>
      </c>
      <c r="K82" s="96">
        <v>8.0</v>
      </c>
      <c r="L82" s="96" t="s">
        <v>51</v>
      </c>
      <c r="M82" s="96">
        <v>8.0</v>
      </c>
      <c r="N82" s="96" t="s">
        <v>51</v>
      </c>
      <c r="O82" s="96">
        <v>8.0</v>
      </c>
      <c r="P82" s="96">
        <v>44.0</v>
      </c>
      <c r="Q82" s="226"/>
    </row>
    <row r="83">
      <c r="A83" s="120" t="s">
        <v>92</v>
      </c>
      <c r="B83" s="97" t="s">
        <v>51</v>
      </c>
      <c r="C83" s="96">
        <v>8.0</v>
      </c>
      <c r="D83" s="96" t="s">
        <v>194</v>
      </c>
      <c r="E83" s="96">
        <v>4.0</v>
      </c>
      <c r="F83" s="80" t="s">
        <v>15</v>
      </c>
      <c r="G83" s="80">
        <v>4.0</v>
      </c>
      <c r="H83" s="96" t="s">
        <v>164</v>
      </c>
      <c r="I83" s="96">
        <v>8.0</v>
      </c>
      <c r="J83" s="96" t="s">
        <v>51</v>
      </c>
      <c r="K83" s="96">
        <v>8.0</v>
      </c>
      <c r="L83" s="96" t="s">
        <v>51</v>
      </c>
      <c r="M83" s="96">
        <v>8.0</v>
      </c>
      <c r="N83" s="112" t="s">
        <v>4</v>
      </c>
      <c r="O83" s="96">
        <v>0.0</v>
      </c>
      <c r="P83" s="96">
        <v>36.0</v>
      </c>
      <c r="Q83" s="226"/>
    </row>
    <row r="84">
      <c r="A84" s="239" t="s">
        <v>76</v>
      </c>
      <c r="B84" s="97" t="s">
        <v>51</v>
      </c>
      <c r="C84" s="96">
        <v>8.0</v>
      </c>
      <c r="D84" s="96" t="s">
        <v>194</v>
      </c>
      <c r="E84" s="96">
        <v>4.0</v>
      </c>
      <c r="F84" s="112" t="s">
        <v>4</v>
      </c>
      <c r="G84" s="96">
        <v>0.0</v>
      </c>
      <c r="H84" s="96" t="s">
        <v>164</v>
      </c>
      <c r="I84" s="96">
        <v>8.0</v>
      </c>
      <c r="J84" s="96" t="s">
        <v>51</v>
      </c>
      <c r="K84" s="96">
        <v>8.0</v>
      </c>
      <c r="L84" s="96" t="s">
        <v>51</v>
      </c>
      <c r="M84" s="96">
        <v>8.0</v>
      </c>
      <c r="N84" s="96" t="s">
        <v>51</v>
      </c>
      <c r="O84" s="96">
        <v>8.0</v>
      </c>
      <c r="P84" s="96">
        <v>40.0</v>
      </c>
      <c r="Q84" s="226"/>
    </row>
    <row r="85">
      <c r="A85" s="120" t="s">
        <v>74</v>
      </c>
      <c r="B85" s="96" t="s">
        <v>17</v>
      </c>
      <c r="C85" s="96">
        <v>8.0</v>
      </c>
      <c r="D85" s="96" t="s">
        <v>17</v>
      </c>
      <c r="E85" s="96">
        <v>8.0</v>
      </c>
      <c r="F85" s="80" t="s">
        <v>15</v>
      </c>
      <c r="G85" s="80">
        <v>4.0</v>
      </c>
      <c r="H85" s="96" t="s">
        <v>164</v>
      </c>
      <c r="I85" s="96">
        <v>8.0</v>
      </c>
      <c r="J85" s="96" t="s">
        <v>17</v>
      </c>
      <c r="K85" s="96">
        <v>8.0</v>
      </c>
      <c r="L85" s="96" t="s">
        <v>17</v>
      </c>
      <c r="M85" s="96">
        <v>8.0</v>
      </c>
      <c r="N85" s="112" t="s">
        <v>4</v>
      </c>
      <c r="O85" s="96">
        <v>0.0</v>
      </c>
      <c r="P85" s="96">
        <v>40.0</v>
      </c>
      <c r="Q85" s="226"/>
    </row>
    <row r="86">
      <c r="A86" s="120" t="s">
        <v>84</v>
      </c>
      <c r="B86" s="97" t="s">
        <v>51</v>
      </c>
      <c r="C86" s="96">
        <v>8.0</v>
      </c>
      <c r="D86" s="96" t="s">
        <v>51</v>
      </c>
      <c r="E86" s="96">
        <v>8.0</v>
      </c>
      <c r="F86" s="80" t="s">
        <v>15</v>
      </c>
      <c r="G86" s="80">
        <v>4.0</v>
      </c>
      <c r="H86" s="96" t="s">
        <v>164</v>
      </c>
      <c r="I86" s="96">
        <v>8.0</v>
      </c>
      <c r="J86" s="96" t="s">
        <v>51</v>
      </c>
      <c r="K86" s="96">
        <v>8.0</v>
      </c>
      <c r="L86" s="96" t="s">
        <v>51</v>
      </c>
      <c r="M86" s="96">
        <v>8.0</v>
      </c>
      <c r="N86" s="112" t="s">
        <v>4</v>
      </c>
      <c r="O86" s="96">
        <v>0.0</v>
      </c>
      <c r="P86" s="96">
        <v>36.0</v>
      </c>
      <c r="Q86" s="226"/>
    </row>
    <row r="87">
      <c r="A87" s="120" t="s">
        <v>98</v>
      </c>
      <c r="B87" s="97" t="s">
        <v>51</v>
      </c>
      <c r="C87" s="96">
        <v>8.0</v>
      </c>
      <c r="D87" s="96" t="s">
        <v>51</v>
      </c>
      <c r="E87" s="96">
        <v>8.0</v>
      </c>
      <c r="F87" s="112" t="s">
        <v>4</v>
      </c>
      <c r="G87" s="96">
        <v>0.0</v>
      </c>
      <c r="H87" s="96" t="s">
        <v>164</v>
      </c>
      <c r="I87" s="96">
        <v>0.0</v>
      </c>
      <c r="J87" s="96" t="s">
        <v>51</v>
      </c>
      <c r="K87" s="96">
        <v>8.0</v>
      </c>
      <c r="L87" s="96" t="s">
        <v>51</v>
      </c>
      <c r="M87" s="96">
        <v>8.0</v>
      </c>
      <c r="N87" s="96" t="s">
        <v>51</v>
      </c>
      <c r="O87" s="96">
        <v>8.0</v>
      </c>
      <c r="P87" s="96">
        <v>40.0</v>
      </c>
      <c r="Q87" s="226"/>
    </row>
    <row r="88">
      <c r="A88" s="120" t="s">
        <v>80</v>
      </c>
      <c r="B88" s="97" t="s">
        <v>194</v>
      </c>
      <c r="C88" s="96">
        <v>4.0</v>
      </c>
      <c r="D88" s="96" t="s">
        <v>64</v>
      </c>
      <c r="E88" s="96">
        <v>8.0</v>
      </c>
      <c r="F88" s="80" t="s">
        <v>15</v>
      </c>
      <c r="G88" s="80">
        <v>4.0</v>
      </c>
      <c r="H88" s="96" t="s">
        <v>164</v>
      </c>
      <c r="I88" s="96">
        <v>8.0</v>
      </c>
      <c r="J88" s="96" t="s">
        <v>11</v>
      </c>
      <c r="K88" s="96">
        <v>8.0</v>
      </c>
      <c r="L88" s="96" t="s">
        <v>11</v>
      </c>
      <c r="M88" s="96">
        <v>8.0</v>
      </c>
      <c r="N88" s="112" t="s">
        <v>4</v>
      </c>
      <c r="O88" s="96">
        <v>0.0</v>
      </c>
      <c r="P88" s="96">
        <v>40.0</v>
      </c>
      <c r="Q88" s="226"/>
    </row>
    <row r="89">
      <c r="A89" s="123" t="s">
        <v>78</v>
      </c>
      <c r="B89" s="97" t="s">
        <v>51</v>
      </c>
      <c r="C89" s="96">
        <v>8.0</v>
      </c>
      <c r="D89" s="96" t="s">
        <v>51</v>
      </c>
      <c r="E89" s="96">
        <v>8.0</v>
      </c>
      <c r="F89" s="112" t="s">
        <v>4</v>
      </c>
      <c r="G89" s="96">
        <v>0.0</v>
      </c>
      <c r="H89" s="112" t="s">
        <v>4</v>
      </c>
      <c r="I89" s="96">
        <v>0.0</v>
      </c>
      <c r="J89" s="96" t="s">
        <v>51</v>
      </c>
      <c r="K89" s="96">
        <v>8.0</v>
      </c>
      <c r="L89" s="96" t="s">
        <v>51</v>
      </c>
      <c r="M89" s="96">
        <v>8.0</v>
      </c>
      <c r="N89" s="96" t="s">
        <v>51</v>
      </c>
      <c r="O89" s="96">
        <v>8.0</v>
      </c>
      <c r="P89" s="96">
        <v>32.0</v>
      </c>
      <c r="Q89" s="226"/>
    </row>
    <row r="90">
      <c r="A90" s="120" t="s">
        <v>94</v>
      </c>
      <c r="B90" s="97" t="s">
        <v>36</v>
      </c>
      <c r="C90" s="96">
        <v>8.0</v>
      </c>
      <c r="D90" s="96" t="s">
        <v>194</v>
      </c>
      <c r="E90" s="96">
        <v>4.0</v>
      </c>
      <c r="F90" s="112" t="s">
        <v>4</v>
      </c>
      <c r="G90" s="96">
        <v>0.0</v>
      </c>
      <c r="H90" s="96" t="s">
        <v>164</v>
      </c>
      <c r="I90" s="96">
        <v>0.0</v>
      </c>
      <c r="J90" s="96" t="s">
        <v>36</v>
      </c>
      <c r="K90" s="96">
        <v>8.0</v>
      </c>
      <c r="L90" s="96" t="s">
        <v>36</v>
      </c>
      <c r="M90" s="96">
        <v>8.0</v>
      </c>
      <c r="N90" s="96" t="s">
        <v>36</v>
      </c>
      <c r="O90" s="96">
        <v>8.0</v>
      </c>
      <c r="P90" s="96">
        <v>44.0</v>
      </c>
      <c r="Q90" s="226"/>
    </row>
    <row r="91">
      <c r="A91" s="239" t="s">
        <v>86</v>
      </c>
      <c r="B91" s="96" t="s">
        <v>17</v>
      </c>
      <c r="C91" s="96">
        <v>8.0</v>
      </c>
      <c r="D91" s="96" t="s">
        <v>194</v>
      </c>
      <c r="E91" s="96">
        <v>4.0</v>
      </c>
      <c r="F91" s="112" t="s">
        <v>4</v>
      </c>
      <c r="G91" s="96">
        <v>0.0</v>
      </c>
      <c r="H91" s="96" t="s">
        <v>164</v>
      </c>
      <c r="I91" s="96">
        <v>8.0</v>
      </c>
      <c r="J91" s="96" t="s">
        <v>17</v>
      </c>
      <c r="K91" s="96">
        <v>8.0</v>
      </c>
      <c r="L91" s="96" t="s">
        <v>17</v>
      </c>
      <c r="M91" s="96">
        <v>8.0</v>
      </c>
      <c r="N91" s="96" t="s">
        <v>51</v>
      </c>
      <c r="O91" s="96">
        <v>8.0</v>
      </c>
      <c r="P91" s="96">
        <v>40.0</v>
      </c>
      <c r="Q91" s="226"/>
    </row>
    <row r="92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4.86"/>
    <col customWidth="1" min="4" max="4" width="24.86"/>
    <col customWidth="1" min="6" max="6" width="24.86"/>
    <col customWidth="1" min="8" max="8" width="24.86"/>
    <col customWidth="1" min="10" max="10" width="24.86"/>
    <col customWidth="1" min="12" max="12" width="24.86"/>
    <col customWidth="1" min="14" max="14" width="29.0"/>
    <col customWidth="1" min="17" max="17" width="51.71"/>
  </cols>
  <sheetData>
    <row r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</row>
    <row r="2">
      <c r="A2" s="221" t="s">
        <v>143</v>
      </c>
      <c r="B2" s="222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</row>
    <row r="3">
      <c r="A3" s="116" t="s">
        <v>65</v>
      </c>
      <c r="B3" s="117" t="s">
        <v>144</v>
      </c>
      <c r="C3" s="118"/>
      <c r="D3" s="117" t="s">
        <v>145</v>
      </c>
      <c r="E3" s="118"/>
      <c r="F3" s="117" t="s">
        <v>146</v>
      </c>
      <c r="G3" s="118"/>
      <c r="H3" s="117" t="s">
        <v>147</v>
      </c>
      <c r="I3" s="118"/>
      <c r="J3" s="117" t="s">
        <v>148</v>
      </c>
      <c r="K3" s="118"/>
      <c r="L3" s="117" t="s">
        <v>149</v>
      </c>
      <c r="M3" s="118"/>
      <c r="N3" s="117" t="s">
        <v>150</v>
      </c>
      <c r="O3" s="118"/>
      <c r="P3" s="117" t="s">
        <v>107</v>
      </c>
      <c r="Q3" s="224" t="s">
        <v>332</v>
      </c>
    </row>
    <row r="4">
      <c r="A4" s="120" t="s">
        <v>82</v>
      </c>
      <c r="B4" s="81" t="s">
        <v>4</v>
      </c>
      <c r="C4" s="80">
        <v>0.0</v>
      </c>
      <c r="D4" s="225"/>
      <c r="E4" s="80">
        <v>0.0</v>
      </c>
      <c r="F4" s="225"/>
      <c r="G4" s="80">
        <v>0.0</v>
      </c>
      <c r="H4" s="80" t="s">
        <v>51</v>
      </c>
      <c r="I4" s="80">
        <v>8.0</v>
      </c>
      <c r="J4" s="80" t="s">
        <v>51</v>
      </c>
      <c r="K4" s="80">
        <v>8.0</v>
      </c>
      <c r="L4" s="80" t="s">
        <v>51</v>
      </c>
      <c r="M4" s="80">
        <v>8.0</v>
      </c>
      <c r="N4" s="81" t="s">
        <v>4</v>
      </c>
      <c r="O4" s="80">
        <v>0.0</v>
      </c>
      <c r="P4" s="80">
        <f t="shared" ref="P4:P18" si="1">C4+E4+G4+I4+K4+M4+O4</f>
        <v>24</v>
      </c>
      <c r="Q4" s="226"/>
    </row>
    <row r="5">
      <c r="A5" s="123" t="s">
        <v>90</v>
      </c>
      <c r="B5" s="80" t="s">
        <v>51</v>
      </c>
      <c r="C5" s="80">
        <v>8.0</v>
      </c>
      <c r="D5" s="80" t="s">
        <v>51</v>
      </c>
      <c r="E5" s="80">
        <v>8.0</v>
      </c>
      <c r="F5" s="81" t="s">
        <v>4</v>
      </c>
      <c r="G5" s="80">
        <v>0.0</v>
      </c>
      <c r="H5" s="80" t="s">
        <v>51</v>
      </c>
      <c r="I5" s="80">
        <v>8.0</v>
      </c>
      <c r="J5" s="80" t="s">
        <v>17</v>
      </c>
      <c r="K5" s="80">
        <v>8.0</v>
      </c>
      <c r="L5" s="80" t="s">
        <v>17</v>
      </c>
      <c r="M5" s="80">
        <v>8.0</v>
      </c>
      <c r="N5" s="81" t="s">
        <v>4</v>
      </c>
      <c r="O5" s="80">
        <v>0.0</v>
      </c>
      <c r="P5" s="80">
        <f t="shared" si="1"/>
        <v>40</v>
      </c>
      <c r="Q5" s="120" t="s">
        <v>333</v>
      </c>
    </row>
    <row r="6">
      <c r="A6" s="123" t="s">
        <v>88</v>
      </c>
      <c r="B6" s="80" t="s">
        <v>36</v>
      </c>
      <c r="C6" s="80">
        <v>8.0</v>
      </c>
      <c r="D6" s="80" t="s">
        <v>51</v>
      </c>
      <c r="E6" s="80">
        <v>8.0</v>
      </c>
      <c r="F6" s="81" t="s">
        <v>4</v>
      </c>
      <c r="G6" s="80">
        <v>0.0</v>
      </c>
      <c r="H6" s="81" t="s">
        <v>4</v>
      </c>
      <c r="I6" s="80">
        <v>0.0</v>
      </c>
      <c r="J6" s="80" t="s">
        <v>36</v>
      </c>
      <c r="K6" s="80">
        <v>8.0</v>
      </c>
      <c r="L6" s="81" t="s">
        <v>4</v>
      </c>
      <c r="M6" s="80">
        <v>8.0</v>
      </c>
      <c r="N6" s="81" t="s">
        <v>4</v>
      </c>
      <c r="O6" s="80">
        <v>0.0</v>
      </c>
      <c r="P6" s="80">
        <f t="shared" si="1"/>
        <v>32</v>
      </c>
      <c r="Q6" s="120" t="s">
        <v>333</v>
      </c>
    </row>
    <row r="7">
      <c r="A7" s="120" t="s">
        <v>70</v>
      </c>
      <c r="B7" s="80" t="s">
        <v>51</v>
      </c>
      <c r="C7" s="80">
        <v>8.0</v>
      </c>
      <c r="D7" s="81" t="s">
        <v>4</v>
      </c>
      <c r="E7" s="80">
        <v>0.0</v>
      </c>
      <c r="F7" s="80" t="s">
        <v>51</v>
      </c>
      <c r="G7" s="80">
        <v>8.0</v>
      </c>
      <c r="H7" s="81" t="s">
        <v>4</v>
      </c>
      <c r="I7" s="80">
        <v>0.0</v>
      </c>
      <c r="J7" s="80" t="s">
        <v>51</v>
      </c>
      <c r="K7" s="80">
        <v>8.0</v>
      </c>
      <c r="L7" s="81" t="s">
        <v>4</v>
      </c>
      <c r="M7" s="80">
        <v>8.0</v>
      </c>
      <c r="N7" s="81" t="s">
        <v>4</v>
      </c>
      <c r="O7" s="80">
        <v>0.0</v>
      </c>
      <c r="P7" s="80">
        <f t="shared" si="1"/>
        <v>32</v>
      </c>
      <c r="Q7" s="226"/>
    </row>
    <row r="8">
      <c r="A8" s="120" t="s">
        <v>72</v>
      </c>
      <c r="B8" s="80" t="s">
        <v>51</v>
      </c>
      <c r="C8" s="80">
        <v>8.0</v>
      </c>
      <c r="D8" s="81" t="s">
        <v>4</v>
      </c>
      <c r="E8" s="80">
        <v>0.0</v>
      </c>
      <c r="F8" s="80" t="s">
        <v>51</v>
      </c>
      <c r="G8" s="80">
        <v>8.0</v>
      </c>
      <c r="H8" s="81" t="s">
        <v>4</v>
      </c>
      <c r="I8" s="80">
        <v>0.0</v>
      </c>
      <c r="J8" s="80" t="s">
        <v>51</v>
      </c>
      <c r="K8" s="80">
        <v>8.0</v>
      </c>
      <c r="L8" s="81" t="s">
        <v>4</v>
      </c>
      <c r="M8" s="80">
        <v>8.0</v>
      </c>
      <c r="N8" s="81" t="s">
        <v>4</v>
      </c>
      <c r="O8" s="80">
        <v>0.0</v>
      </c>
      <c r="P8" s="80">
        <f t="shared" si="1"/>
        <v>32</v>
      </c>
      <c r="Q8" s="226"/>
    </row>
    <row r="9">
      <c r="A9" s="120" t="s">
        <v>96</v>
      </c>
      <c r="B9" s="80" t="s">
        <v>51</v>
      </c>
      <c r="C9" s="80">
        <v>8.0</v>
      </c>
      <c r="D9" s="80" t="s">
        <v>51</v>
      </c>
      <c r="E9" s="80">
        <v>8.0</v>
      </c>
      <c r="F9" s="81" t="s">
        <v>4</v>
      </c>
      <c r="G9" s="80">
        <v>0.0</v>
      </c>
      <c r="H9" s="80" t="s">
        <v>51</v>
      </c>
      <c r="I9" s="80">
        <v>8.0</v>
      </c>
      <c r="J9" s="80" t="s">
        <v>51</v>
      </c>
      <c r="K9" s="80">
        <v>8.0</v>
      </c>
      <c r="L9" s="81" t="s">
        <v>4</v>
      </c>
      <c r="M9" s="80">
        <v>8.0</v>
      </c>
      <c r="N9" s="81" t="s">
        <v>4</v>
      </c>
      <c r="O9" s="80">
        <v>0.0</v>
      </c>
      <c r="P9" s="80">
        <f t="shared" si="1"/>
        <v>40</v>
      </c>
      <c r="Q9" s="226"/>
    </row>
    <row r="10">
      <c r="A10" s="120" t="s">
        <v>92</v>
      </c>
      <c r="B10" s="80" t="s">
        <v>51</v>
      </c>
      <c r="C10" s="80">
        <v>8.0</v>
      </c>
      <c r="D10" s="81" t="s">
        <v>4</v>
      </c>
      <c r="E10" s="80">
        <v>0.0</v>
      </c>
      <c r="F10" s="80" t="s">
        <v>51</v>
      </c>
      <c r="G10" s="80">
        <v>8.0</v>
      </c>
      <c r="H10" s="80" t="s">
        <v>51</v>
      </c>
      <c r="I10" s="80">
        <v>8.0</v>
      </c>
      <c r="J10" s="80" t="s">
        <v>51</v>
      </c>
      <c r="K10" s="80">
        <v>8.0</v>
      </c>
      <c r="L10" s="80" t="s">
        <v>51</v>
      </c>
      <c r="M10" s="80">
        <v>8.0</v>
      </c>
      <c r="N10" s="81" t="s">
        <v>4</v>
      </c>
      <c r="O10" s="80">
        <v>0.0</v>
      </c>
      <c r="P10" s="80">
        <f t="shared" si="1"/>
        <v>40</v>
      </c>
      <c r="Q10" s="240" t="s">
        <v>334</v>
      </c>
    </row>
    <row r="11">
      <c r="A11" s="124" t="s">
        <v>76</v>
      </c>
      <c r="B11" s="80" t="s">
        <v>51</v>
      </c>
      <c r="C11" s="80">
        <v>0.0</v>
      </c>
      <c r="D11" s="228"/>
      <c r="E11" s="80">
        <v>0.0</v>
      </c>
      <c r="F11" s="228"/>
      <c r="G11" s="80">
        <v>0.0</v>
      </c>
      <c r="H11" s="225"/>
      <c r="I11" s="80">
        <v>0.0</v>
      </c>
      <c r="J11" s="225"/>
      <c r="K11" s="80">
        <v>0.0</v>
      </c>
      <c r="L11" s="228"/>
      <c r="M11" s="214"/>
      <c r="N11" s="225"/>
      <c r="O11" s="80">
        <v>0.0</v>
      </c>
      <c r="P11" s="80">
        <f t="shared" si="1"/>
        <v>0</v>
      </c>
      <c r="Q11" s="226"/>
    </row>
    <row r="12">
      <c r="A12" s="120" t="s">
        <v>74</v>
      </c>
      <c r="B12" s="80" t="s">
        <v>17</v>
      </c>
      <c r="C12" s="80">
        <v>8.0</v>
      </c>
      <c r="D12" s="80" t="s">
        <v>152</v>
      </c>
      <c r="E12" s="80">
        <v>6.0</v>
      </c>
      <c r="F12" s="81" t="s">
        <v>4</v>
      </c>
      <c r="G12" s="80">
        <v>0.0</v>
      </c>
      <c r="H12" s="80" t="s">
        <v>153</v>
      </c>
      <c r="I12" s="80">
        <v>6.5</v>
      </c>
      <c r="J12" s="80" t="s">
        <v>153</v>
      </c>
      <c r="K12" s="80">
        <v>6.5</v>
      </c>
      <c r="L12" s="80" t="s">
        <v>17</v>
      </c>
      <c r="M12" s="80">
        <v>8.0</v>
      </c>
      <c r="N12" s="81" t="s">
        <v>4</v>
      </c>
      <c r="O12" s="80">
        <v>0.0</v>
      </c>
      <c r="P12" s="80">
        <f t="shared" si="1"/>
        <v>35</v>
      </c>
      <c r="Q12" s="120" t="s">
        <v>333</v>
      </c>
    </row>
    <row r="13">
      <c r="A13" s="120" t="s">
        <v>84</v>
      </c>
      <c r="B13" s="80" t="s">
        <v>51</v>
      </c>
      <c r="C13" s="80">
        <v>8.0</v>
      </c>
      <c r="D13" s="80" t="s">
        <v>51</v>
      </c>
      <c r="E13" s="80">
        <v>8.0</v>
      </c>
      <c r="F13" s="81" t="s">
        <v>4</v>
      </c>
      <c r="G13" s="80">
        <v>0.0</v>
      </c>
      <c r="H13" s="81" t="s">
        <v>4</v>
      </c>
      <c r="I13" s="80">
        <v>0.0</v>
      </c>
      <c r="J13" s="80" t="s">
        <v>51</v>
      </c>
      <c r="K13" s="80">
        <v>8.0</v>
      </c>
      <c r="L13" s="80" t="s">
        <v>51</v>
      </c>
      <c r="M13" s="80">
        <v>8.0</v>
      </c>
      <c r="N13" s="81" t="s">
        <v>4</v>
      </c>
      <c r="O13" s="80">
        <v>0.0</v>
      </c>
      <c r="P13" s="80">
        <f t="shared" si="1"/>
        <v>32</v>
      </c>
      <c r="Q13" s="226"/>
    </row>
    <row r="14">
      <c r="A14" s="120" t="s">
        <v>98</v>
      </c>
      <c r="B14" s="80" t="s">
        <v>51</v>
      </c>
      <c r="C14" s="80">
        <v>8.0</v>
      </c>
      <c r="D14" s="81" t="s">
        <v>4</v>
      </c>
      <c r="E14" s="80">
        <v>0.0</v>
      </c>
      <c r="F14" s="81" t="s">
        <v>4</v>
      </c>
      <c r="G14" s="80">
        <v>0.0</v>
      </c>
      <c r="H14" s="80" t="s">
        <v>51</v>
      </c>
      <c r="I14" s="80">
        <v>8.0</v>
      </c>
      <c r="J14" s="80" t="s">
        <v>51</v>
      </c>
      <c r="K14" s="80">
        <v>8.0</v>
      </c>
      <c r="L14" s="81" t="s">
        <v>4</v>
      </c>
      <c r="M14" s="80">
        <v>8.0</v>
      </c>
      <c r="N14" s="81" t="s">
        <v>4</v>
      </c>
      <c r="O14" s="80">
        <v>0.0</v>
      </c>
      <c r="P14" s="80">
        <f t="shared" si="1"/>
        <v>32</v>
      </c>
      <c r="Q14" s="226"/>
    </row>
    <row r="15">
      <c r="A15" s="120" t="s">
        <v>80</v>
      </c>
      <c r="B15" s="225"/>
      <c r="C15" s="80">
        <v>0.0</v>
      </c>
      <c r="D15" s="225"/>
      <c r="E15" s="80">
        <v>0.0</v>
      </c>
      <c r="F15" s="225"/>
      <c r="G15" s="80">
        <v>0.0</v>
      </c>
      <c r="H15" s="228"/>
      <c r="I15" s="80">
        <v>0.0</v>
      </c>
      <c r="J15" s="225"/>
      <c r="K15" s="80">
        <v>0.0</v>
      </c>
      <c r="L15" s="81" t="s">
        <v>4</v>
      </c>
      <c r="M15" s="214"/>
      <c r="N15" s="81" t="s">
        <v>4</v>
      </c>
      <c r="O15" s="80">
        <v>0.0</v>
      </c>
      <c r="P15" s="80">
        <f t="shared" si="1"/>
        <v>0</v>
      </c>
      <c r="Q15" s="226"/>
    </row>
    <row r="16">
      <c r="A16" s="123" t="s">
        <v>78</v>
      </c>
      <c r="B16" s="80" t="s">
        <v>51</v>
      </c>
      <c r="C16" s="80">
        <v>8.0</v>
      </c>
      <c r="D16" s="80" t="s">
        <v>51</v>
      </c>
      <c r="E16" s="80">
        <v>8.0</v>
      </c>
      <c r="F16" s="81" t="s">
        <v>4</v>
      </c>
      <c r="G16" s="80">
        <v>0.0</v>
      </c>
      <c r="H16" s="80" t="s">
        <v>51</v>
      </c>
      <c r="I16" s="80">
        <v>8.0</v>
      </c>
      <c r="J16" s="80" t="s">
        <v>51</v>
      </c>
      <c r="K16" s="80">
        <v>8.0</v>
      </c>
      <c r="L16" s="81" t="s">
        <v>4</v>
      </c>
      <c r="M16" s="80">
        <v>8.0</v>
      </c>
      <c r="N16" s="81" t="s">
        <v>4</v>
      </c>
      <c r="O16" s="80">
        <v>0.0</v>
      </c>
      <c r="P16" s="80">
        <f t="shared" si="1"/>
        <v>40</v>
      </c>
      <c r="Q16" s="120" t="s">
        <v>335</v>
      </c>
    </row>
    <row r="17">
      <c r="A17" s="120" t="s">
        <v>94</v>
      </c>
      <c r="B17" s="80" t="s">
        <v>36</v>
      </c>
      <c r="C17" s="80">
        <v>8.0</v>
      </c>
      <c r="D17" s="81" t="s">
        <v>4</v>
      </c>
      <c r="E17" s="80">
        <v>0.0</v>
      </c>
      <c r="F17" s="229" t="s">
        <v>4</v>
      </c>
      <c r="G17" s="80">
        <v>0.0</v>
      </c>
      <c r="H17" s="80" t="s">
        <v>36</v>
      </c>
      <c r="I17" s="80">
        <v>8.0</v>
      </c>
      <c r="J17" s="80" t="s">
        <v>36</v>
      </c>
      <c r="K17" s="80">
        <v>8.0</v>
      </c>
      <c r="L17" s="80" t="s">
        <v>36</v>
      </c>
      <c r="M17" s="80">
        <v>8.0</v>
      </c>
      <c r="N17" s="81" t="s">
        <v>4</v>
      </c>
      <c r="O17" s="80">
        <v>0.0</v>
      </c>
      <c r="P17" s="80">
        <f t="shared" si="1"/>
        <v>32</v>
      </c>
      <c r="Q17" s="120" t="s">
        <v>333</v>
      </c>
    </row>
    <row r="18">
      <c r="A18" s="124" t="s">
        <v>86</v>
      </c>
      <c r="B18" s="80" t="s">
        <v>51</v>
      </c>
      <c r="C18" s="80">
        <v>8.0</v>
      </c>
      <c r="D18" s="81" t="s">
        <v>4</v>
      </c>
      <c r="E18" s="80">
        <v>0.0</v>
      </c>
      <c r="F18" s="81" t="s">
        <v>4</v>
      </c>
      <c r="G18" s="80">
        <v>0.0</v>
      </c>
      <c r="H18" s="80" t="s">
        <v>51</v>
      </c>
      <c r="I18" s="80">
        <v>8.0</v>
      </c>
      <c r="J18" s="80" t="s">
        <v>51</v>
      </c>
      <c r="K18" s="80">
        <v>8.0</v>
      </c>
      <c r="L18" s="80" t="s">
        <v>51</v>
      </c>
      <c r="M18" s="80">
        <v>8.0</v>
      </c>
      <c r="N18" s="80" t="s">
        <v>51</v>
      </c>
      <c r="O18" s="80">
        <v>8.0</v>
      </c>
      <c r="P18" s="80">
        <f t="shared" si="1"/>
        <v>40</v>
      </c>
      <c r="Q18" s="226"/>
    </row>
    <row r="19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</row>
    <row r="20">
      <c r="A20" s="221" t="s">
        <v>156</v>
      </c>
      <c r="B20" s="230"/>
      <c r="C20" s="223"/>
      <c r="D20" s="223"/>
      <c r="E20" s="223"/>
      <c r="F20" s="223"/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223"/>
    </row>
    <row r="21">
      <c r="A21" s="116" t="s">
        <v>65</v>
      </c>
      <c r="B21" s="117" t="s">
        <v>157</v>
      </c>
      <c r="C21" s="118"/>
      <c r="D21" s="117" t="s">
        <v>158</v>
      </c>
      <c r="E21" s="118"/>
      <c r="F21" s="117" t="s">
        <v>159</v>
      </c>
      <c r="G21" s="118"/>
      <c r="H21" s="117" t="s">
        <v>160</v>
      </c>
      <c r="I21" s="118"/>
      <c r="J21" s="117" t="s">
        <v>161</v>
      </c>
      <c r="K21" s="118"/>
      <c r="L21" s="117" t="s">
        <v>162</v>
      </c>
      <c r="M21" s="118"/>
      <c r="N21" s="117" t="s">
        <v>163</v>
      </c>
      <c r="O21" s="118"/>
      <c r="P21" s="117" t="s">
        <v>107</v>
      </c>
      <c r="Q21" s="224" t="s">
        <v>332</v>
      </c>
    </row>
    <row r="22">
      <c r="A22" s="120" t="s">
        <v>82</v>
      </c>
      <c r="B22" s="148" t="s">
        <v>51</v>
      </c>
      <c r="C22" s="107">
        <v>8.0</v>
      </c>
      <c r="D22" s="107" t="s">
        <v>51</v>
      </c>
      <c r="E22" s="107">
        <v>8.0</v>
      </c>
      <c r="F22" s="159" t="s">
        <v>4</v>
      </c>
      <c r="G22" s="107">
        <v>0.0</v>
      </c>
      <c r="H22" s="107" t="s">
        <v>51</v>
      </c>
      <c r="I22" s="107">
        <v>8.0</v>
      </c>
      <c r="J22" s="107" t="s">
        <v>51</v>
      </c>
      <c r="K22" s="107">
        <v>8.0</v>
      </c>
      <c r="L22" s="107" t="s">
        <v>51</v>
      </c>
      <c r="M22" s="107">
        <v>8.0</v>
      </c>
      <c r="N22" s="159" t="s">
        <v>4</v>
      </c>
      <c r="O22" s="107">
        <v>0.0</v>
      </c>
      <c r="P22" s="80">
        <f t="shared" ref="P22:P36" si="2">C22+E22+G22+I22+K22+M22+O22</f>
        <v>40</v>
      </c>
      <c r="Q22" s="226"/>
    </row>
    <row r="23">
      <c r="A23" s="123" t="s">
        <v>90</v>
      </c>
      <c r="B23" s="231" t="s">
        <v>164</v>
      </c>
      <c r="C23" s="96">
        <v>0.0</v>
      </c>
      <c r="D23" s="96" t="s">
        <v>51</v>
      </c>
      <c r="E23" s="96">
        <v>8.0</v>
      </c>
      <c r="F23" s="112" t="s">
        <v>4</v>
      </c>
      <c r="G23" s="96">
        <v>0.0</v>
      </c>
      <c r="H23" s="96" t="s">
        <v>17</v>
      </c>
      <c r="I23" s="96">
        <v>8.0</v>
      </c>
      <c r="J23" s="96" t="s">
        <v>17</v>
      </c>
      <c r="K23" s="96">
        <v>8.0</v>
      </c>
      <c r="L23" s="96" t="s">
        <v>17</v>
      </c>
      <c r="M23" s="96">
        <v>8.0</v>
      </c>
      <c r="N23" s="96" t="s">
        <v>17</v>
      </c>
      <c r="O23" s="96">
        <v>8.0</v>
      </c>
      <c r="P23" s="80">
        <f t="shared" si="2"/>
        <v>40</v>
      </c>
      <c r="Q23" s="226"/>
    </row>
    <row r="24">
      <c r="A24" s="123" t="s">
        <v>88</v>
      </c>
      <c r="B24" s="97" t="s">
        <v>164</v>
      </c>
      <c r="C24" s="96">
        <v>8.0</v>
      </c>
      <c r="D24" s="112" t="s">
        <v>4</v>
      </c>
      <c r="E24" s="96">
        <v>0.0</v>
      </c>
      <c r="F24" s="96" t="s">
        <v>36</v>
      </c>
      <c r="G24" s="96">
        <v>8.0</v>
      </c>
      <c r="H24" s="112" t="s">
        <v>4</v>
      </c>
      <c r="I24" s="96">
        <v>0.0</v>
      </c>
      <c r="J24" s="96" t="s">
        <v>36</v>
      </c>
      <c r="K24" s="96">
        <v>8.0</v>
      </c>
      <c r="L24" s="96" t="s">
        <v>36</v>
      </c>
      <c r="M24" s="96">
        <v>8.0</v>
      </c>
      <c r="N24" s="96" t="s">
        <v>36</v>
      </c>
      <c r="O24" s="96">
        <v>8.0</v>
      </c>
      <c r="P24" s="80">
        <f t="shared" si="2"/>
        <v>40</v>
      </c>
      <c r="Q24" s="226"/>
    </row>
    <row r="25">
      <c r="A25" s="120" t="s">
        <v>70</v>
      </c>
      <c r="B25" s="231" t="s">
        <v>164</v>
      </c>
      <c r="C25" s="96">
        <v>0.0</v>
      </c>
      <c r="D25" s="96" t="s">
        <v>51</v>
      </c>
      <c r="E25" s="96">
        <v>8.0</v>
      </c>
      <c r="F25" s="96" t="s">
        <v>51</v>
      </c>
      <c r="G25" s="96">
        <v>8.0</v>
      </c>
      <c r="H25" s="96" t="s">
        <v>51</v>
      </c>
      <c r="I25" s="96">
        <v>8.0</v>
      </c>
      <c r="J25" s="96" t="s">
        <v>51</v>
      </c>
      <c r="K25" s="96">
        <v>8.0</v>
      </c>
      <c r="L25" s="96" t="s">
        <v>51</v>
      </c>
      <c r="M25" s="96">
        <v>8.0</v>
      </c>
      <c r="N25" s="112" t="s">
        <v>4</v>
      </c>
      <c r="O25" s="96">
        <v>0.0</v>
      </c>
      <c r="P25" s="80">
        <f t="shared" si="2"/>
        <v>40</v>
      </c>
      <c r="Q25" s="226"/>
    </row>
    <row r="26">
      <c r="A26" s="120" t="s">
        <v>72</v>
      </c>
      <c r="B26" s="231" t="s">
        <v>164</v>
      </c>
      <c r="C26" s="96">
        <v>0.0</v>
      </c>
      <c r="D26" s="96" t="s">
        <v>51</v>
      </c>
      <c r="E26" s="96">
        <v>8.0</v>
      </c>
      <c r="F26" s="96" t="s">
        <v>51</v>
      </c>
      <c r="G26" s="96">
        <v>8.0</v>
      </c>
      <c r="H26" s="112" t="s">
        <v>4</v>
      </c>
      <c r="I26" s="96">
        <v>0.0</v>
      </c>
      <c r="J26" s="96" t="s">
        <v>51</v>
      </c>
      <c r="K26" s="96">
        <v>8.0</v>
      </c>
      <c r="L26" s="96" t="s">
        <v>51</v>
      </c>
      <c r="M26" s="96">
        <v>8.0</v>
      </c>
      <c r="N26" s="96" t="s">
        <v>51</v>
      </c>
      <c r="O26" s="96">
        <v>8.0</v>
      </c>
      <c r="P26" s="80">
        <f t="shared" si="2"/>
        <v>40</v>
      </c>
      <c r="Q26" s="226"/>
    </row>
    <row r="27">
      <c r="A27" s="120" t="s">
        <v>96</v>
      </c>
      <c r="B27" s="97" t="s">
        <v>51</v>
      </c>
      <c r="C27" s="96">
        <v>8.0</v>
      </c>
      <c r="D27" s="112" t="s">
        <v>4</v>
      </c>
      <c r="E27" s="96">
        <v>0.0</v>
      </c>
      <c r="F27" s="112" t="s">
        <v>4</v>
      </c>
      <c r="G27" s="96">
        <v>0.0</v>
      </c>
      <c r="H27" s="96" t="s">
        <v>51</v>
      </c>
      <c r="I27" s="96">
        <v>8.0</v>
      </c>
      <c r="J27" s="96" t="s">
        <v>51</v>
      </c>
      <c r="K27" s="96">
        <v>8.0</v>
      </c>
      <c r="L27" s="96" t="s">
        <v>51</v>
      </c>
      <c r="M27" s="96">
        <v>8.0</v>
      </c>
      <c r="N27" s="96" t="s">
        <v>51</v>
      </c>
      <c r="O27" s="96">
        <v>8.0</v>
      </c>
      <c r="P27" s="80">
        <f t="shared" si="2"/>
        <v>40</v>
      </c>
      <c r="Q27" s="226"/>
    </row>
    <row r="28">
      <c r="A28" s="120" t="s">
        <v>92</v>
      </c>
      <c r="B28" s="97" t="s">
        <v>51</v>
      </c>
      <c r="C28" s="96">
        <v>8.0</v>
      </c>
      <c r="D28" s="112" t="s">
        <v>4</v>
      </c>
      <c r="E28" s="96">
        <v>0.0</v>
      </c>
      <c r="F28" s="96" t="s">
        <v>51</v>
      </c>
      <c r="G28" s="96">
        <v>8.0</v>
      </c>
      <c r="H28" s="112" t="s">
        <v>4</v>
      </c>
      <c r="I28" s="96">
        <v>0.0</v>
      </c>
      <c r="J28" s="96" t="s">
        <v>51</v>
      </c>
      <c r="K28" s="96">
        <v>8.0</v>
      </c>
      <c r="L28" s="96" t="s">
        <v>51</v>
      </c>
      <c r="M28" s="96">
        <v>8.0</v>
      </c>
      <c r="N28" s="96" t="s">
        <v>51</v>
      </c>
      <c r="O28" s="96">
        <v>8.0</v>
      </c>
      <c r="P28" s="80">
        <f t="shared" si="2"/>
        <v>40</v>
      </c>
      <c r="Q28" s="226"/>
    </row>
    <row r="29">
      <c r="A29" s="124" t="s">
        <v>76</v>
      </c>
      <c r="B29" s="110" t="s">
        <v>4</v>
      </c>
      <c r="C29" s="111">
        <v>0.0</v>
      </c>
      <c r="D29" s="111" t="s">
        <v>4</v>
      </c>
      <c r="E29" s="111">
        <v>0.0</v>
      </c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80">
        <f t="shared" si="2"/>
        <v>0</v>
      </c>
      <c r="Q29" s="226"/>
    </row>
    <row r="30">
      <c r="A30" s="120" t="s">
        <v>74</v>
      </c>
      <c r="B30" s="231" t="s">
        <v>164</v>
      </c>
      <c r="C30" s="96">
        <v>0.0</v>
      </c>
      <c r="D30" s="156" t="s">
        <v>17</v>
      </c>
      <c r="E30" s="156">
        <v>8.0</v>
      </c>
      <c r="F30" s="156" t="s">
        <v>17</v>
      </c>
      <c r="G30" s="156">
        <v>8.0</v>
      </c>
      <c r="H30" s="156" t="s">
        <v>17</v>
      </c>
      <c r="I30" s="156">
        <v>8.0</v>
      </c>
      <c r="J30" s="96" t="s">
        <v>17</v>
      </c>
      <c r="K30" s="96">
        <v>8.0</v>
      </c>
      <c r="L30" s="96" t="s">
        <v>17</v>
      </c>
      <c r="M30" s="96">
        <v>8.0</v>
      </c>
      <c r="N30" s="112" t="s">
        <v>4</v>
      </c>
      <c r="O30" s="96">
        <v>0.0</v>
      </c>
      <c r="P30" s="80">
        <f t="shared" si="2"/>
        <v>40</v>
      </c>
      <c r="Q30" s="226"/>
    </row>
    <row r="31">
      <c r="A31" s="120" t="s">
        <v>84</v>
      </c>
      <c r="B31" s="97" t="s">
        <v>164</v>
      </c>
      <c r="C31" s="96">
        <v>8.0</v>
      </c>
      <c r="D31" s="96" t="s">
        <v>51</v>
      </c>
      <c r="E31" s="96">
        <v>8.0</v>
      </c>
      <c r="F31" s="112" t="s">
        <v>4</v>
      </c>
      <c r="G31" s="96">
        <v>0.0</v>
      </c>
      <c r="H31" s="112" t="s">
        <v>4</v>
      </c>
      <c r="I31" s="96">
        <v>0.0</v>
      </c>
      <c r="J31" s="96" t="s">
        <v>51</v>
      </c>
      <c r="K31" s="96">
        <v>8.0</v>
      </c>
      <c r="L31" s="96" t="s">
        <v>51</v>
      </c>
      <c r="M31" s="96">
        <v>8.0</v>
      </c>
      <c r="N31" s="96" t="s">
        <v>51</v>
      </c>
      <c r="O31" s="96">
        <v>8.0</v>
      </c>
      <c r="P31" s="80">
        <f t="shared" si="2"/>
        <v>40</v>
      </c>
      <c r="Q31" s="226"/>
    </row>
    <row r="32">
      <c r="A32" s="120" t="s">
        <v>98</v>
      </c>
      <c r="B32" s="97" t="s">
        <v>164</v>
      </c>
      <c r="C32" s="96">
        <v>0.0</v>
      </c>
      <c r="D32" s="96" t="s">
        <v>51</v>
      </c>
      <c r="E32" s="96">
        <v>8.0</v>
      </c>
      <c r="F32" s="112" t="s">
        <v>4</v>
      </c>
      <c r="G32" s="96">
        <v>0.0</v>
      </c>
      <c r="H32" s="96" t="s">
        <v>51</v>
      </c>
      <c r="I32" s="96">
        <v>8.0</v>
      </c>
      <c r="J32" s="96" t="s">
        <v>51</v>
      </c>
      <c r="K32" s="96">
        <v>8.0</v>
      </c>
      <c r="L32" s="96" t="s">
        <v>51</v>
      </c>
      <c r="M32" s="96">
        <v>8.0</v>
      </c>
      <c r="N32" s="96" t="s">
        <v>51</v>
      </c>
      <c r="O32" s="96">
        <v>8.0</v>
      </c>
      <c r="P32" s="80">
        <f t="shared" si="2"/>
        <v>40</v>
      </c>
      <c r="Q32" s="240" t="s">
        <v>334</v>
      </c>
    </row>
    <row r="33">
      <c r="A33" s="120" t="s">
        <v>80</v>
      </c>
      <c r="B33" s="231" t="s">
        <v>4</v>
      </c>
      <c r="C33" s="96">
        <v>0.0</v>
      </c>
      <c r="D33" s="233"/>
      <c r="E33" s="233"/>
      <c r="F33" s="96" t="s">
        <v>36</v>
      </c>
      <c r="G33" s="96">
        <v>8.0</v>
      </c>
      <c r="H33" s="96" t="s">
        <v>36</v>
      </c>
      <c r="I33" s="96">
        <v>8.0</v>
      </c>
      <c r="J33" s="96" t="s">
        <v>36</v>
      </c>
      <c r="K33" s="96">
        <v>8.0</v>
      </c>
      <c r="L33" s="96" t="s">
        <v>36</v>
      </c>
      <c r="M33" s="96">
        <v>8.0</v>
      </c>
      <c r="N33" s="112" t="s">
        <v>4</v>
      </c>
      <c r="O33" s="96">
        <v>0.0</v>
      </c>
      <c r="P33" s="80">
        <f t="shared" si="2"/>
        <v>32</v>
      </c>
      <c r="Q33" s="120" t="s">
        <v>338</v>
      </c>
    </row>
    <row r="34">
      <c r="A34" s="123" t="s">
        <v>78</v>
      </c>
      <c r="B34" s="97" t="s">
        <v>164</v>
      </c>
      <c r="C34" s="96">
        <v>8.0</v>
      </c>
      <c r="D34" s="96" t="s">
        <v>51</v>
      </c>
      <c r="E34" s="96">
        <v>8.0</v>
      </c>
      <c r="F34" s="96" t="s">
        <v>51</v>
      </c>
      <c r="G34" s="96">
        <v>8.0</v>
      </c>
      <c r="H34" s="112" t="s">
        <v>4</v>
      </c>
      <c r="I34" s="96">
        <v>0.0</v>
      </c>
      <c r="J34" s="96" t="s">
        <v>51</v>
      </c>
      <c r="K34" s="96">
        <v>8.0</v>
      </c>
      <c r="L34" s="96" t="s">
        <v>51</v>
      </c>
      <c r="M34" s="96">
        <v>8.0</v>
      </c>
      <c r="N34" s="112" t="s">
        <v>4</v>
      </c>
      <c r="O34" s="96">
        <v>0.0</v>
      </c>
      <c r="P34" s="80">
        <f t="shared" si="2"/>
        <v>40</v>
      </c>
      <c r="Q34" s="240" t="s">
        <v>334</v>
      </c>
    </row>
    <row r="35">
      <c r="A35" s="120" t="s">
        <v>94</v>
      </c>
      <c r="B35" s="97" t="s">
        <v>36</v>
      </c>
      <c r="C35" s="96">
        <v>8.0</v>
      </c>
      <c r="D35" s="112" t="s">
        <v>4</v>
      </c>
      <c r="E35" s="96">
        <v>0.0</v>
      </c>
      <c r="F35" s="96" t="s">
        <v>36</v>
      </c>
      <c r="G35" s="96">
        <v>8.0</v>
      </c>
      <c r="H35" s="96" t="s">
        <v>36</v>
      </c>
      <c r="I35" s="96">
        <v>8.0</v>
      </c>
      <c r="J35" s="96" t="s">
        <v>36</v>
      </c>
      <c r="K35" s="96">
        <v>8.0</v>
      </c>
      <c r="L35" s="96" t="s">
        <v>36</v>
      </c>
      <c r="M35" s="96">
        <v>8.0</v>
      </c>
      <c r="N35" s="112" t="s">
        <v>4</v>
      </c>
      <c r="O35" s="96">
        <v>0.0</v>
      </c>
      <c r="P35" s="80">
        <f t="shared" si="2"/>
        <v>40</v>
      </c>
      <c r="Q35" s="226"/>
    </row>
    <row r="36">
      <c r="A36" s="124" t="s">
        <v>86</v>
      </c>
      <c r="B36" s="231" t="s">
        <v>164</v>
      </c>
      <c r="C36" s="96">
        <v>0.0</v>
      </c>
      <c r="D36" s="112" t="s">
        <v>4</v>
      </c>
      <c r="E36" s="96">
        <v>0.0</v>
      </c>
      <c r="F36" s="96" t="s">
        <v>51</v>
      </c>
      <c r="G36" s="96">
        <v>8.0</v>
      </c>
      <c r="H36" s="96" t="s">
        <v>169</v>
      </c>
      <c r="I36" s="96">
        <v>8.0</v>
      </c>
      <c r="J36" s="96" t="s">
        <v>51</v>
      </c>
      <c r="K36" s="96">
        <v>8.0</v>
      </c>
      <c r="L36" s="96" t="s">
        <v>51</v>
      </c>
      <c r="M36" s="96">
        <v>8.0</v>
      </c>
      <c r="N36" s="96" t="s">
        <v>51</v>
      </c>
      <c r="O36" s="96">
        <v>8.0</v>
      </c>
      <c r="P36" s="80">
        <f t="shared" si="2"/>
        <v>40</v>
      </c>
      <c r="Q36" s="240" t="s">
        <v>334</v>
      </c>
    </row>
    <row r="37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9" t="s">
        <v>183</v>
      </c>
      <c r="O37" s="98"/>
      <c r="P37" s="98"/>
      <c r="Q37" s="98"/>
    </row>
    <row r="38">
      <c r="A38" s="221" t="s">
        <v>170</v>
      </c>
      <c r="B38" s="222"/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</row>
    <row r="39">
      <c r="A39" s="116" t="s">
        <v>65</v>
      </c>
      <c r="B39" s="117" t="s">
        <v>171</v>
      </c>
      <c r="C39" s="118"/>
      <c r="D39" s="117" t="s">
        <v>172</v>
      </c>
      <c r="E39" s="118"/>
      <c r="F39" s="117" t="s">
        <v>173</v>
      </c>
      <c r="G39" s="118"/>
      <c r="H39" s="117" t="s">
        <v>174</v>
      </c>
      <c r="I39" s="118"/>
      <c r="J39" s="117" t="s">
        <v>175</v>
      </c>
      <c r="K39" s="118"/>
      <c r="L39" s="117" t="s">
        <v>176</v>
      </c>
      <c r="M39" s="118"/>
      <c r="N39" s="117" t="s">
        <v>177</v>
      </c>
      <c r="O39" s="118"/>
      <c r="P39" s="117" t="s">
        <v>107</v>
      </c>
      <c r="Q39" s="224" t="s">
        <v>332</v>
      </c>
    </row>
    <row r="40">
      <c r="A40" s="120" t="s">
        <v>82</v>
      </c>
      <c r="B40" s="90" t="s">
        <v>51</v>
      </c>
      <c r="C40" s="91">
        <v>8.0</v>
      </c>
      <c r="D40" s="91" t="s">
        <v>51</v>
      </c>
      <c r="E40" s="91">
        <v>8.0</v>
      </c>
      <c r="F40" s="92" t="s">
        <v>4</v>
      </c>
      <c r="G40" s="91">
        <v>0.0</v>
      </c>
      <c r="H40" s="91" t="s">
        <v>51</v>
      </c>
      <c r="I40" s="91">
        <v>8.0</v>
      </c>
      <c r="J40" s="91" t="s">
        <v>51</v>
      </c>
      <c r="K40" s="91">
        <v>8.0</v>
      </c>
      <c r="L40" s="91" t="s">
        <v>51</v>
      </c>
      <c r="M40" s="91">
        <v>8.0</v>
      </c>
      <c r="N40" s="92" t="s">
        <v>4</v>
      </c>
      <c r="O40" s="91">
        <v>0.0</v>
      </c>
      <c r="P40" s="80">
        <f t="shared" ref="P40:P54" si="3">C40+E40+G40+I40+K40+M40+O40</f>
        <v>40</v>
      </c>
      <c r="Q40" s="226"/>
    </row>
    <row r="41">
      <c r="A41" s="123" t="s">
        <v>90</v>
      </c>
      <c r="B41" s="234" t="s">
        <v>4</v>
      </c>
      <c r="C41" s="80">
        <v>0.0</v>
      </c>
      <c r="D41" s="80" t="s">
        <v>51</v>
      </c>
      <c r="E41" s="80">
        <v>8.0</v>
      </c>
      <c r="F41" s="80" t="s">
        <v>51</v>
      </c>
      <c r="G41" s="80">
        <v>8.0</v>
      </c>
      <c r="H41" s="81" t="s">
        <v>4</v>
      </c>
      <c r="I41" s="80">
        <v>0.0</v>
      </c>
      <c r="J41" s="80" t="s">
        <v>51</v>
      </c>
      <c r="K41" s="80">
        <v>8.0</v>
      </c>
      <c r="L41" s="80" t="s">
        <v>51</v>
      </c>
      <c r="M41" s="80">
        <v>8.0</v>
      </c>
      <c r="N41" s="80" t="s">
        <v>17</v>
      </c>
      <c r="O41" s="80">
        <v>8.0</v>
      </c>
      <c r="P41" s="80">
        <f t="shared" si="3"/>
        <v>40</v>
      </c>
      <c r="Q41" s="226"/>
    </row>
    <row r="42">
      <c r="A42" s="123" t="s">
        <v>88</v>
      </c>
      <c r="B42" s="93" t="s">
        <v>36</v>
      </c>
      <c r="C42" s="80">
        <v>8.0</v>
      </c>
      <c r="D42" s="81" t="s">
        <v>4</v>
      </c>
      <c r="E42" s="80">
        <v>0.0</v>
      </c>
      <c r="F42" s="80" t="s">
        <v>36</v>
      </c>
      <c r="G42" s="80">
        <v>8.0</v>
      </c>
      <c r="H42" s="81" t="s">
        <v>4</v>
      </c>
      <c r="I42" s="80">
        <v>0.0</v>
      </c>
      <c r="J42" s="80" t="s">
        <v>36</v>
      </c>
      <c r="K42" s="80">
        <v>8.0</v>
      </c>
      <c r="L42" s="80" t="s">
        <v>36</v>
      </c>
      <c r="M42" s="80">
        <v>8.0</v>
      </c>
      <c r="N42" s="80" t="s">
        <v>36</v>
      </c>
      <c r="O42" s="80">
        <v>8.0</v>
      </c>
      <c r="P42" s="80">
        <f t="shared" si="3"/>
        <v>40</v>
      </c>
      <c r="Q42" s="226"/>
    </row>
    <row r="43">
      <c r="A43" s="120" t="s">
        <v>70</v>
      </c>
      <c r="B43" s="234" t="s">
        <v>4</v>
      </c>
      <c r="C43" s="80">
        <v>0.0</v>
      </c>
      <c r="D43" s="80" t="s">
        <v>51</v>
      </c>
      <c r="E43" s="80">
        <v>8.0</v>
      </c>
      <c r="F43" s="80" t="s">
        <v>51</v>
      </c>
      <c r="G43" s="80">
        <v>8.0</v>
      </c>
      <c r="H43" s="80" t="s">
        <v>51</v>
      </c>
      <c r="I43" s="80">
        <v>8.0</v>
      </c>
      <c r="J43" s="80" t="s">
        <v>51</v>
      </c>
      <c r="K43" s="80">
        <v>8.0</v>
      </c>
      <c r="L43" s="80" t="s">
        <v>51</v>
      </c>
      <c r="M43" s="80">
        <v>8.0</v>
      </c>
      <c r="N43" s="81" t="s">
        <v>4</v>
      </c>
      <c r="O43" s="80">
        <v>0.0</v>
      </c>
      <c r="P43" s="80">
        <f t="shared" si="3"/>
        <v>40</v>
      </c>
      <c r="Q43" s="226"/>
    </row>
    <row r="44">
      <c r="A44" s="120" t="s">
        <v>72</v>
      </c>
      <c r="B44" s="234" t="s">
        <v>4</v>
      </c>
      <c r="C44" s="80">
        <v>0.0</v>
      </c>
      <c r="D44" s="80" t="s">
        <v>51</v>
      </c>
      <c r="E44" s="80">
        <v>8.0</v>
      </c>
      <c r="F44" s="80" t="s">
        <v>51</v>
      </c>
      <c r="G44" s="80">
        <v>8.0</v>
      </c>
      <c r="H44" s="81" t="s">
        <v>4</v>
      </c>
      <c r="I44" s="80">
        <v>0.0</v>
      </c>
      <c r="J44" s="80" t="s">
        <v>51</v>
      </c>
      <c r="K44" s="80">
        <v>8.0</v>
      </c>
      <c r="L44" s="80" t="s">
        <v>51</v>
      </c>
      <c r="M44" s="80">
        <v>8.0</v>
      </c>
      <c r="N44" s="80" t="s">
        <v>51</v>
      </c>
      <c r="O44" s="80">
        <v>8.0</v>
      </c>
      <c r="P44" s="80">
        <f t="shared" si="3"/>
        <v>40</v>
      </c>
      <c r="Q44" s="226"/>
    </row>
    <row r="45">
      <c r="A45" s="120" t="s">
        <v>96</v>
      </c>
      <c r="B45" s="234" t="s">
        <v>4</v>
      </c>
      <c r="C45" s="80">
        <v>0.0</v>
      </c>
      <c r="D45" s="80" t="s">
        <v>51</v>
      </c>
      <c r="E45" s="80">
        <v>8.0</v>
      </c>
      <c r="F45" s="81" t="s">
        <v>4</v>
      </c>
      <c r="G45" s="80">
        <v>0.0</v>
      </c>
      <c r="H45" s="80" t="s">
        <v>51</v>
      </c>
      <c r="I45" s="80">
        <v>8.0</v>
      </c>
      <c r="J45" s="80" t="s">
        <v>178</v>
      </c>
      <c r="K45" s="80">
        <v>8.0</v>
      </c>
      <c r="L45" s="80" t="s">
        <v>51</v>
      </c>
      <c r="M45" s="80">
        <v>8.0</v>
      </c>
      <c r="N45" s="80" t="s">
        <v>51</v>
      </c>
      <c r="O45" s="80">
        <v>8.0</v>
      </c>
      <c r="P45" s="80">
        <f t="shared" si="3"/>
        <v>40</v>
      </c>
      <c r="Q45" s="226"/>
    </row>
    <row r="46">
      <c r="A46" s="120" t="s">
        <v>92</v>
      </c>
      <c r="B46" s="93" t="s">
        <v>51</v>
      </c>
      <c r="C46" s="80">
        <v>8.0</v>
      </c>
      <c r="D46" s="81" t="s">
        <v>4</v>
      </c>
      <c r="E46" s="80">
        <v>0.0</v>
      </c>
      <c r="F46" s="81" t="s">
        <v>4</v>
      </c>
      <c r="G46" s="80">
        <v>0.0</v>
      </c>
      <c r="H46" s="80" t="s">
        <v>51</v>
      </c>
      <c r="I46" s="80">
        <v>8.0</v>
      </c>
      <c r="J46" s="80" t="s">
        <v>51</v>
      </c>
      <c r="K46" s="80">
        <v>8.0</v>
      </c>
      <c r="L46" s="80" t="s">
        <v>51</v>
      </c>
      <c r="M46" s="80">
        <v>8.0</v>
      </c>
      <c r="N46" s="80" t="s">
        <v>51</v>
      </c>
      <c r="O46" s="80">
        <v>8.0</v>
      </c>
      <c r="P46" s="80">
        <f t="shared" si="3"/>
        <v>40</v>
      </c>
      <c r="Q46" s="226"/>
    </row>
    <row r="47">
      <c r="A47" s="124" t="s">
        <v>76</v>
      </c>
      <c r="B47" s="241"/>
      <c r="C47" s="83">
        <v>0.0</v>
      </c>
      <c r="D47" s="83"/>
      <c r="E47" s="83">
        <v>0.0</v>
      </c>
      <c r="F47" s="83"/>
      <c r="G47" s="83"/>
      <c r="H47" s="83"/>
      <c r="I47" s="83"/>
      <c r="J47" s="80" t="s">
        <v>51</v>
      </c>
      <c r="K47" s="80">
        <v>8.0</v>
      </c>
      <c r="L47" s="80" t="s">
        <v>51</v>
      </c>
      <c r="M47" s="80">
        <v>8.0</v>
      </c>
      <c r="N47" s="80" t="s">
        <v>51</v>
      </c>
      <c r="O47" s="80">
        <v>8.0</v>
      </c>
      <c r="P47" s="80">
        <f t="shared" si="3"/>
        <v>24</v>
      </c>
      <c r="Q47" s="120" t="s">
        <v>339</v>
      </c>
    </row>
    <row r="48">
      <c r="A48" s="120" t="s">
        <v>74</v>
      </c>
      <c r="B48" s="234" t="s">
        <v>4</v>
      </c>
      <c r="C48" s="80">
        <v>0.0</v>
      </c>
      <c r="D48" s="80" t="s">
        <v>17</v>
      </c>
      <c r="E48" s="80">
        <v>8.0</v>
      </c>
      <c r="F48" s="80" t="s">
        <v>17</v>
      </c>
      <c r="G48" s="80">
        <v>8.0</v>
      </c>
      <c r="H48" s="80" t="s">
        <v>17</v>
      </c>
      <c r="I48" s="80">
        <v>8.0</v>
      </c>
      <c r="J48" s="80" t="s">
        <v>17</v>
      </c>
      <c r="K48" s="80">
        <v>8.0</v>
      </c>
      <c r="L48" s="80" t="s">
        <v>17</v>
      </c>
      <c r="M48" s="80">
        <v>8.0</v>
      </c>
      <c r="N48" s="81" t="s">
        <v>4</v>
      </c>
      <c r="O48" s="80">
        <v>0.0</v>
      </c>
      <c r="P48" s="80">
        <f t="shared" si="3"/>
        <v>40</v>
      </c>
      <c r="Q48" s="226"/>
    </row>
    <row r="49">
      <c r="A49" s="120" t="s">
        <v>84</v>
      </c>
      <c r="B49" s="93" t="s">
        <v>51</v>
      </c>
      <c r="C49" s="80">
        <v>8.0</v>
      </c>
      <c r="D49" s="80" t="s">
        <v>51</v>
      </c>
      <c r="E49" s="80">
        <v>8.0</v>
      </c>
      <c r="F49" s="81" t="s">
        <v>4</v>
      </c>
      <c r="G49" s="80">
        <v>0.0</v>
      </c>
      <c r="H49" s="81" t="s">
        <v>4</v>
      </c>
      <c r="I49" s="80">
        <v>0.0</v>
      </c>
      <c r="J49" s="80" t="s">
        <v>51</v>
      </c>
      <c r="K49" s="80">
        <v>8.0</v>
      </c>
      <c r="L49" s="80" t="s">
        <v>51</v>
      </c>
      <c r="M49" s="80">
        <v>8.0</v>
      </c>
      <c r="N49" s="80" t="s">
        <v>51</v>
      </c>
      <c r="O49" s="80">
        <v>8.0</v>
      </c>
      <c r="P49" s="80">
        <f t="shared" si="3"/>
        <v>40</v>
      </c>
      <c r="Q49" s="226"/>
    </row>
    <row r="50">
      <c r="A50" s="120" t="s">
        <v>98</v>
      </c>
      <c r="B50" s="93" t="s">
        <v>51</v>
      </c>
      <c r="C50" s="80">
        <v>8.0</v>
      </c>
      <c r="D50" s="81" t="s">
        <v>4</v>
      </c>
      <c r="E50" s="80">
        <v>0.0</v>
      </c>
      <c r="F50" s="81" t="s">
        <v>4</v>
      </c>
      <c r="G50" s="80">
        <v>0.0</v>
      </c>
      <c r="H50" s="80" t="s">
        <v>51</v>
      </c>
      <c r="I50" s="80">
        <v>8.0</v>
      </c>
      <c r="J50" s="80" t="s">
        <v>51</v>
      </c>
      <c r="K50" s="80">
        <v>8.0</v>
      </c>
      <c r="L50" s="80" t="s">
        <v>51</v>
      </c>
      <c r="M50" s="80">
        <v>8.0</v>
      </c>
      <c r="N50" s="80" t="s">
        <v>51</v>
      </c>
      <c r="O50" s="80">
        <v>8.0</v>
      </c>
      <c r="P50" s="80">
        <f t="shared" si="3"/>
        <v>40</v>
      </c>
      <c r="Q50" s="226"/>
    </row>
    <row r="51">
      <c r="A51" s="120" t="s">
        <v>80</v>
      </c>
      <c r="B51" s="93" t="s">
        <v>64</v>
      </c>
      <c r="C51" s="80">
        <v>8.0</v>
      </c>
      <c r="D51" s="80" t="s">
        <v>64</v>
      </c>
      <c r="E51" s="80">
        <v>8.0</v>
      </c>
      <c r="F51" s="81" t="s">
        <v>4</v>
      </c>
      <c r="G51" s="80">
        <v>0.0</v>
      </c>
      <c r="H51" s="80" t="s">
        <v>64</v>
      </c>
      <c r="I51" s="80">
        <v>8.0</v>
      </c>
      <c r="J51" s="80" t="s">
        <v>11</v>
      </c>
      <c r="K51" s="80">
        <v>8.0</v>
      </c>
      <c r="L51" s="80" t="s">
        <v>11</v>
      </c>
      <c r="M51" s="80">
        <v>8.0</v>
      </c>
      <c r="N51" s="81" t="s">
        <v>4</v>
      </c>
      <c r="O51" s="80">
        <v>0.0</v>
      </c>
      <c r="P51" s="80">
        <f t="shared" si="3"/>
        <v>40</v>
      </c>
      <c r="Q51" s="226"/>
    </row>
    <row r="52">
      <c r="A52" s="123" t="s">
        <v>78</v>
      </c>
      <c r="B52" s="242" t="s">
        <v>51</v>
      </c>
      <c r="C52" s="84">
        <v>8.0</v>
      </c>
      <c r="D52" s="84" t="s">
        <v>51</v>
      </c>
      <c r="E52" s="84">
        <v>8.0</v>
      </c>
      <c r="F52" s="84" t="s">
        <v>4</v>
      </c>
      <c r="G52" s="84">
        <v>0.0</v>
      </c>
      <c r="H52" s="81" t="s">
        <v>4</v>
      </c>
      <c r="I52" s="80">
        <v>0.0</v>
      </c>
      <c r="J52" s="80" t="s">
        <v>51</v>
      </c>
      <c r="K52" s="80">
        <v>8.0</v>
      </c>
      <c r="L52" s="80" t="s">
        <v>51</v>
      </c>
      <c r="M52" s="80">
        <v>8.0</v>
      </c>
      <c r="N52" s="80" t="s">
        <v>51</v>
      </c>
      <c r="O52" s="80">
        <v>8.0</v>
      </c>
      <c r="P52" s="80">
        <f t="shared" si="3"/>
        <v>40</v>
      </c>
      <c r="Q52" s="120" t="s">
        <v>340</v>
      </c>
    </row>
    <row r="53">
      <c r="A53" s="120" t="s">
        <v>94</v>
      </c>
      <c r="B53" s="93" t="s">
        <v>36</v>
      </c>
      <c r="C53" s="80">
        <v>8.0</v>
      </c>
      <c r="D53" s="81" t="s">
        <v>4</v>
      </c>
      <c r="E53" s="80">
        <v>0.0</v>
      </c>
      <c r="F53" s="80" t="s">
        <v>36</v>
      </c>
      <c r="G53" s="80">
        <v>8.0</v>
      </c>
      <c r="H53" s="80" t="s">
        <v>36</v>
      </c>
      <c r="I53" s="80">
        <v>8.0</v>
      </c>
      <c r="J53" s="80" t="s">
        <v>36</v>
      </c>
      <c r="K53" s="80">
        <v>8.0</v>
      </c>
      <c r="L53" s="80" t="s">
        <v>36</v>
      </c>
      <c r="M53" s="80">
        <v>8.0</v>
      </c>
      <c r="N53" s="81" t="s">
        <v>4</v>
      </c>
      <c r="O53" s="80">
        <v>0.0</v>
      </c>
      <c r="P53" s="80">
        <f t="shared" si="3"/>
        <v>40</v>
      </c>
      <c r="Q53" s="226"/>
    </row>
    <row r="54">
      <c r="A54" s="124" t="s">
        <v>86</v>
      </c>
      <c r="B54" s="234" t="s">
        <v>4</v>
      </c>
      <c r="C54" s="80">
        <v>0.0</v>
      </c>
      <c r="D54" s="81" t="s">
        <v>4</v>
      </c>
      <c r="E54" s="80">
        <v>0.0</v>
      </c>
      <c r="F54" s="80" t="s">
        <v>17</v>
      </c>
      <c r="G54" s="80">
        <v>8.0</v>
      </c>
      <c r="H54" s="80" t="s">
        <v>17</v>
      </c>
      <c r="I54" s="80">
        <v>8.0</v>
      </c>
      <c r="J54" s="80" t="s">
        <v>17</v>
      </c>
      <c r="K54" s="80">
        <v>8.0</v>
      </c>
      <c r="L54" s="80" t="s">
        <v>17</v>
      </c>
      <c r="M54" s="80">
        <v>8.0</v>
      </c>
      <c r="N54" s="80" t="s">
        <v>51</v>
      </c>
      <c r="O54" s="80">
        <v>8.0</v>
      </c>
      <c r="P54" s="80">
        <f t="shared" si="3"/>
        <v>40</v>
      </c>
      <c r="Q54" s="226"/>
    </row>
    <row r="55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9" t="s">
        <v>183</v>
      </c>
      <c r="O55" s="98"/>
      <c r="P55" s="98"/>
      <c r="Q55" s="98"/>
    </row>
    <row r="56">
      <c r="A56" s="221" t="s">
        <v>184</v>
      </c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</row>
    <row r="57">
      <c r="A57" s="116" t="s">
        <v>65</v>
      </c>
      <c r="B57" s="117" t="s">
        <v>185</v>
      </c>
      <c r="C57" s="118"/>
      <c r="D57" s="117" t="s">
        <v>186</v>
      </c>
      <c r="E57" s="118"/>
      <c r="F57" s="117" t="s">
        <v>187</v>
      </c>
      <c r="G57" s="118"/>
      <c r="H57" s="117" t="s">
        <v>188</v>
      </c>
      <c r="I57" s="118"/>
      <c r="J57" s="117" t="s">
        <v>189</v>
      </c>
      <c r="K57" s="118"/>
      <c r="L57" s="117" t="s">
        <v>190</v>
      </c>
      <c r="M57" s="118"/>
      <c r="N57" s="117" t="s">
        <v>191</v>
      </c>
      <c r="O57" s="118"/>
      <c r="P57" s="117" t="s">
        <v>107</v>
      </c>
      <c r="Q57" s="224" t="s">
        <v>332</v>
      </c>
    </row>
    <row r="58">
      <c r="A58" s="120" t="s">
        <v>82</v>
      </c>
      <c r="B58" s="90" t="s">
        <v>51</v>
      </c>
      <c r="C58" s="91">
        <v>8.0</v>
      </c>
      <c r="D58" s="91" t="s">
        <v>51</v>
      </c>
      <c r="E58" s="91">
        <v>8.0</v>
      </c>
      <c r="F58" s="92" t="s">
        <v>4</v>
      </c>
      <c r="G58" s="91">
        <v>0.0</v>
      </c>
      <c r="H58" s="91" t="s">
        <v>164</v>
      </c>
      <c r="I58" s="91">
        <v>8.0</v>
      </c>
      <c r="J58" s="91" t="s">
        <v>51</v>
      </c>
      <c r="K58" s="91">
        <v>8.0</v>
      </c>
      <c r="L58" s="91" t="s">
        <v>51</v>
      </c>
      <c r="M58" s="91">
        <v>8.0</v>
      </c>
      <c r="N58" s="92" t="s">
        <v>4</v>
      </c>
      <c r="O58" s="91">
        <v>0.0</v>
      </c>
      <c r="P58" s="80">
        <f t="shared" ref="P58:P72" si="4">C58+E58+G58+I58+K58+M58+O58</f>
        <v>40</v>
      </c>
      <c r="Q58" s="226"/>
    </row>
    <row r="59">
      <c r="A59" s="123" t="s">
        <v>90</v>
      </c>
      <c r="B59" s="81" t="s">
        <v>4</v>
      </c>
      <c r="C59" s="80">
        <v>0.0</v>
      </c>
      <c r="D59" s="80" t="s">
        <v>51</v>
      </c>
      <c r="E59" s="80">
        <v>8.0</v>
      </c>
      <c r="F59" s="80" t="s">
        <v>15</v>
      </c>
      <c r="G59" s="80">
        <v>4.0</v>
      </c>
      <c r="H59" s="81" t="s">
        <v>4</v>
      </c>
      <c r="I59" s="80">
        <v>0.0</v>
      </c>
      <c r="J59" s="80" t="s">
        <v>51</v>
      </c>
      <c r="K59" s="80">
        <v>8.0</v>
      </c>
      <c r="L59" s="80" t="s">
        <v>51</v>
      </c>
      <c r="M59" s="80">
        <v>8.0</v>
      </c>
      <c r="N59" s="80" t="s">
        <v>17</v>
      </c>
      <c r="O59" s="80">
        <v>8.0</v>
      </c>
      <c r="P59" s="80">
        <f t="shared" si="4"/>
        <v>36</v>
      </c>
      <c r="Q59" s="120" t="s">
        <v>341</v>
      </c>
    </row>
    <row r="60">
      <c r="A60" s="123" t="s">
        <v>88</v>
      </c>
      <c r="B60" s="93" t="s">
        <v>36</v>
      </c>
      <c r="C60" s="80">
        <v>8.0</v>
      </c>
      <c r="D60" s="81" t="s">
        <v>4</v>
      </c>
      <c r="E60" s="80">
        <v>0.0</v>
      </c>
      <c r="F60" s="80" t="s">
        <v>15</v>
      </c>
      <c r="G60" s="80">
        <v>4.0</v>
      </c>
      <c r="H60" s="81" t="s">
        <v>4</v>
      </c>
      <c r="I60" s="80">
        <v>0.0</v>
      </c>
      <c r="J60" s="80" t="s">
        <v>36</v>
      </c>
      <c r="K60" s="80">
        <v>8.0</v>
      </c>
      <c r="L60" s="80" t="s">
        <v>36</v>
      </c>
      <c r="M60" s="80">
        <v>8.0</v>
      </c>
      <c r="N60" s="80" t="s">
        <v>36</v>
      </c>
      <c r="O60" s="80">
        <v>8.0</v>
      </c>
      <c r="P60" s="80">
        <f t="shared" si="4"/>
        <v>36</v>
      </c>
      <c r="Q60" s="120"/>
    </row>
    <row r="61">
      <c r="A61" s="120" t="s">
        <v>70</v>
      </c>
      <c r="B61" s="80" t="s">
        <v>51</v>
      </c>
      <c r="C61" s="80">
        <v>8.0</v>
      </c>
      <c r="D61" s="80" t="s">
        <v>51</v>
      </c>
      <c r="E61" s="80">
        <v>8.0</v>
      </c>
      <c r="F61" s="80" t="s">
        <v>15</v>
      </c>
      <c r="G61" s="80">
        <v>4.0</v>
      </c>
      <c r="H61" s="80" t="s">
        <v>164</v>
      </c>
      <c r="I61" s="80">
        <v>8.0</v>
      </c>
      <c r="J61" s="80" t="s">
        <v>164</v>
      </c>
      <c r="K61" s="80">
        <v>8.0</v>
      </c>
      <c r="L61" s="80" t="s">
        <v>51</v>
      </c>
      <c r="M61" s="80">
        <v>8.0</v>
      </c>
      <c r="N61" s="81" t="s">
        <v>4</v>
      </c>
      <c r="O61" s="80">
        <v>0.0</v>
      </c>
      <c r="P61" s="80">
        <f t="shared" si="4"/>
        <v>44</v>
      </c>
      <c r="Q61" s="120" t="s">
        <v>342</v>
      </c>
    </row>
    <row r="62">
      <c r="A62" s="120" t="s">
        <v>72</v>
      </c>
      <c r="B62" s="93" t="s">
        <v>51</v>
      </c>
      <c r="C62" s="80">
        <v>8.0</v>
      </c>
      <c r="D62" s="80" t="s">
        <v>51</v>
      </c>
      <c r="E62" s="80">
        <v>8.0</v>
      </c>
      <c r="F62" s="81" t="s">
        <v>4</v>
      </c>
      <c r="G62" s="80">
        <v>0.0</v>
      </c>
      <c r="H62" s="81" t="s">
        <v>4</v>
      </c>
      <c r="I62" s="80">
        <v>0.0</v>
      </c>
      <c r="J62" s="80" t="s">
        <v>51</v>
      </c>
      <c r="K62" s="80">
        <v>8.0</v>
      </c>
      <c r="L62" s="80" t="s">
        <v>51</v>
      </c>
      <c r="M62" s="80">
        <v>8.0</v>
      </c>
      <c r="N62" s="80" t="s">
        <v>51</v>
      </c>
      <c r="O62" s="80">
        <v>8.0</v>
      </c>
      <c r="P62" s="80">
        <f t="shared" si="4"/>
        <v>40</v>
      </c>
      <c r="Q62" s="226"/>
    </row>
    <row r="63">
      <c r="A63" s="120" t="s">
        <v>96</v>
      </c>
      <c r="B63" s="93" t="s">
        <v>51</v>
      </c>
      <c r="C63" s="80">
        <v>8.0</v>
      </c>
      <c r="D63" s="80" t="s">
        <v>51</v>
      </c>
      <c r="E63" s="80">
        <v>8.0</v>
      </c>
      <c r="F63" s="81" t="s">
        <v>4</v>
      </c>
      <c r="G63" s="80">
        <v>0.0</v>
      </c>
      <c r="H63" s="80" t="s">
        <v>164</v>
      </c>
      <c r="I63" s="80">
        <v>0.0</v>
      </c>
      <c r="J63" s="80" t="s">
        <v>51</v>
      </c>
      <c r="K63" s="80">
        <v>8.0</v>
      </c>
      <c r="L63" s="80" t="s">
        <v>51</v>
      </c>
      <c r="M63" s="80">
        <v>8.0</v>
      </c>
      <c r="N63" s="80" t="s">
        <v>51</v>
      </c>
      <c r="O63" s="80">
        <v>8.0</v>
      </c>
      <c r="P63" s="80">
        <f t="shared" si="4"/>
        <v>40</v>
      </c>
      <c r="Q63" s="226"/>
    </row>
    <row r="64">
      <c r="A64" s="120" t="s">
        <v>92</v>
      </c>
      <c r="B64" s="93" t="s">
        <v>51</v>
      </c>
      <c r="C64" s="80">
        <v>8.0</v>
      </c>
      <c r="D64" s="80" t="s">
        <v>51</v>
      </c>
      <c r="E64" s="80">
        <v>8.0</v>
      </c>
      <c r="F64" s="81" t="s">
        <v>4</v>
      </c>
      <c r="G64" s="80">
        <v>0.0</v>
      </c>
      <c r="H64" s="80" t="s">
        <v>164</v>
      </c>
      <c r="I64" s="80">
        <v>8.0</v>
      </c>
      <c r="J64" s="80" t="s">
        <v>51</v>
      </c>
      <c r="K64" s="80">
        <v>8.0</v>
      </c>
      <c r="L64" s="80" t="s">
        <v>51</v>
      </c>
      <c r="M64" s="80">
        <v>8.0</v>
      </c>
      <c r="N64" s="80" t="s">
        <v>51</v>
      </c>
      <c r="O64" s="80">
        <v>8.0</v>
      </c>
      <c r="P64" s="80">
        <f t="shared" si="4"/>
        <v>48</v>
      </c>
      <c r="Q64" s="226"/>
    </row>
    <row r="65">
      <c r="A65" s="124" t="s">
        <v>76</v>
      </c>
      <c r="B65" s="93" t="s">
        <v>51</v>
      </c>
      <c r="C65" s="80">
        <v>8.0</v>
      </c>
      <c r="D65" s="80" t="s">
        <v>51</v>
      </c>
      <c r="E65" s="80">
        <v>8.0</v>
      </c>
      <c r="F65" s="80" t="s">
        <v>15</v>
      </c>
      <c r="G65" s="80">
        <v>4.0</v>
      </c>
      <c r="H65" s="80" t="s">
        <v>164</v>
      </c>
      <c r="I65" s="80">
        <v>0.0</v>
      </c>
      <c r="J65" s="80" t="s">
        <v>51</v>
      </c>
      <c r="K65" s="80">
        <v>8.0</v>
      </c>
      <c r="L65" s="80" t="s">
        <v>51</v>
      </c>
      <c r="M65" s="80">
        <v>8.0</v>
      </c>
      <c r="N65" s="80" t="s">
        <v>51</v>
      </c>
      <c r="O65" s="80">
        <v>8.0</v>
      </c>
      <c r="P65" s="80">
        <f t="shared" si="4"/>
        <v>44</v>
      </c>
      <c r="Q65" s="226"/>
    </row>
    <row r="66">
      <c r="A66" s="120" t="s">
        <v>74</v>
      </c>
      <c r="B66" s="93" t="s">
        <v>17</v>
      </c>
      <c r="C66" s="80">
        <v>8.0</v>
      </c>
      <c r="D66" s="80" t="s">
        <v>17</v>
      </c>
      <c r="E66" s="80">
        <v>8.0</v>
      </c>
      <c r="F66" s="80" t="s">
        <v>15</v>
      </c>
      <c r="G66" s="80">
        <v>4.0</v>
      </c>
      <c r="H66" s="80" t="s">
        <v>164</v>
      </c>
      <c r="I66" s="80">
        <v>0.0</v>
      </c>
      <c r="J66" s="80" t="s">
        <v>17</v>
      </c>
      <c r="K66" s="80">
        <v>8.0</v>
      </c>
      <c r="L66" s="80" t="s">
        <v>17</v>
      </c>
      <c r="M66" s="80">
        <v>8.0</v>
      </c>
      <c r="N66" s="81" t="s">
        <v>4</v>
      </c>
      <c r="O66" s="80">
        <v>0.0</v>
      </c>
      <c r="P66" s="80">
        <f t="shared" si="4"/>
        <v>36</v>
      </c>
      <c r="Q66" s="226"/>
    </row>
    <row r="67">
      <c r="A67" s="120" t="s">
        <v>84</v>
      </c>
      <c r="B67" s="97" t="s">
        <v>194</v>
      </c>
      <c r="C67" s="80">
        <v>4.0</v>
      </c>
      <c r="D67" s="80" t="s">
        <v>51</v>
      </c>
      <c r="E67" s="80">
        <v>8.0</v>
      </c>
      <c r="F67" s="81" t="s">
        <v>4</v>
      </c>
      <c r="G67" s="80">
        <v>0.0</v>
      </c>
      <c r="H67" s="81" t="s">
        <v>4</v>
      </c>
      <c r="I67" s="80">
        <v>0.0</v>
      </c>
      <c r="J67" s="80" t="s">
        <v>51</v>
      </c>
      <c r="K67" s="80">
        <v>8.0</v>
      </c>
      <c r="L67" s="80" t="s">
        <v>51</v>
      </c>
      <c r="M67" s="80">
        <v>8.0</v>
      </c>
      <c r="N67" s="80" t="s">
        <v>51</v>
      </c>
      <c r="O67" s="80">
        <v>8.0</v>
      </c>
      <c r="P67" s="80">
        <f t="shared" si="4"/>
        <v>36</v>
      </c>
      <c r="Q67" s="226"/>
    </row>
    <row r="68">
      <c r="A68" s="120" t="s">
        <v>98</v>
      </c>
      <c r="B68" s="93" t="s">
        <v>51</v>
      </c>
      <c r="C68" s="80">
        <v>8.0</v>
      </c>
      <c r="D68" s="96" t="s">
        <v>194</v>
      </c>
      <c r="E68" s="96">
        <v>4.0</v>
      </c>
      <c r="F68" s="80" t="s">
        <v>15</v>
      </c>
      <c r="G68" s="80">
        <v>4.0</v>
      </c>
      <c r="H68" s="80" t="s">
        <v>164</v>
      </c>
      <c r="I68" s="80">
        <v>0.0</v>
      </c>
      <c r="J68" s="80" t="s">
        <v>51</v>
      </c>
      <c r="K68" s="80">
        <v>8.0</v>
      </c>
      <c r="L68" s="80" t="s">
        <v>51</v>
      </c>
      <c r="M68" s="80">
        <v>8.0</v>
      </c>
      <c r="N68" s="80" t="s">
        <v>51</v>
      </c>
      <c r="O68" s="80">
        <v>8.0</v>
      </c>
      <c r="P68" s="80">
        <f t="shared" si="4"/>
        <v>40</v>
      </c>
      <c r="Q68" s="226"/>
    </row>
    <row r="69">
      <c r="A69" s="120" t="s">
        <v>80</v>
      </c>
      <c r="B69" s="93" t="s">
        <v>36</v>
      </c>
      <c r="C69" s="80">
        <v>8.0</v>
      </c>
      <c r="D69" s="80" t="s">
        <v>36</v>
      </c>
      <c r="E69" s="80">
        <v>8.0</v>
      </c>
      <c r="F69" s="81" t="s">
        <v>4</v>
      </c>
      <c r="G69" s="80">
        <v>0.0</v>
      </c>
      <c r="H69" s="80" t="s">
        <v>164</v>
      </c>
      <c r="I69" s="80">
        <v>8.0</v>
      </c>
      <c r="J69" s="80" t="s">
        <v>36</v>
      </c>
      <c r="K69" s="80">
        <v>8.0</v>
      </c>
      <c r="L69" s="80" t="s">
        <v>36</v>
      </c>
      <c r="M69" s="80">
        <v>8.0</v>
      </c>
      <c r="N69" s="81" t="s">
        <v>4</v>
      </c>
      <c r="O69" s="80">
        <v>0.0</v>
      </c>
      <c r="P69" s="80">
        <f t="shared" si="4"/>
        <v>40</v>
      </c>
      <c r="Q69" s="226"/>
    </row>
    <row r="70">
      <c r="A70" s="123" t="s">
        <v>78</v>
      </c>
      <c r="B70" s="97" t="s">
        <v>194</v>
      </c>
      <c r="C70" s="96">
        <v>4.0</v>
      </c>
      <c r="D70" s="80" t="s">
        <v>51</v>
      </c>
      <c r="E70" s="80">
        <v>8.0</v>
      </c>
      <c r="F70" s="80" t="s">
        <v>15</v>
      </c>
      <c r="G70" s="80">
        <v>4.0</v>
      </c>
      <c r="H70" s="81" t="s">
        <v>4</v>
      </c>
      <c r="I70" s="80">
        <v>0.0</v>
      </c>
      <c r="J70" s="80" t="s">
        <v>51</v>
      </c>
      <c r="K70" s="80">
        <v>8.0</v>
      </c>
      <c r="L70" s="80" t="s">
        <v>51</v>
      </c>
      <c r="M70" s="80">
        <v>8.0</v>
      </c>
      <c r="N70" s="80" t="s">
        <v>51</v>
      </c>
      <c r="O70" s="80">
        <v>8.0</v>
      </c>
      <c r="P70" s="80">
        <f t="shared" si="4"/>
        <v>40</v>
      </c>
      <c r="Q70" s="226"/>
    </row>
    <row r="71">
      <c r="A71" s="120" t="s">
        <v>94</v>
      </c>
      <c r="B71" s="93" t="s">
        <v>36</v>
      </c>
      <c r="C71" s="80">
        <v>8.0</v>
      </c>
      <c r="D71" s="80" t="s">
        <v>36</v>
      </c>
      <c r="E71" s="80">
        <v>8.0</v>
      </c>
      <c r="F71" s="80" t="s">
        <v>15</v>
      </c>
      <c r="G71" s="80">
        <v>4.0</v>
      </c>
      <c r="H71" s="80" t="s">
        <v>164</v>
      </c>
      <c r="I71" s="80">
        <v>8.0</v>
      </c>
      <c r="J71" s="80" t="s">
        <v>36</v>
      </c>
      <c r="K71" s="80">
        <v>8.0</v>
      </c>
      <c r="L71" s="80" t="s">
        <v>36</v>
      </c>
      <c r="M71" s="80">
        <v>8.0</v>
      </c>
      <c r="N71" s="81" t="s">
        <v>4</v>
      </c>
      <c r="O71" s="80">
        <v>0.0</v>
      </c>
      <c r="P71" s="80">
        <f t="shared" si="4"/>
        <v>44</v>
      </c>
      <c r="Q71" s="226"/>
    </row>
    <row r="72">
      <c r="A72" s="124" t="s">
        <v>86</v>
      </c>
      <c r="B72" s="234" t="s">
        <v>4</v>
      </c>
      <c r="C72" s="80">
        <v>0.0</v>
      </c>
      <c r="D72" s="80" t="s">
        <v>17</v>
      </c>
      <c r="E72" s="80">
        <v>8.0</v>
      </c>
      <c r="F72" s="80" t="s">
        <v>15</v>
      </c>
      <c r="G72" s="80">
        <v>4.0</v>
      </c>
      <c r="H72" s="80" t="s">
        <v>164</v>
      </c>
      <c r="I72" s="80">
        <v>8.0</v>
      </c>
      <c r="J72" s="80" t="s">
        <v>17</v>
      </c>
      <c r="K72" s="80">
        <v>8.0</v>
      </c>
      <c r="L72" s="80" t="s">
        <v>17</v>
      </c>
      <c r="M72" s="80">
        <v>8.0</v>
      </c>
      <c r="N72" s="80" t="s">
        <v>51</v>
      </c>
      <c r="O72" s="80">
        <v>8.0</v>
      </c>
      <c r="P72" s="80">
        <f t="shared" si="4"/>
        <v>44</v>
      </c>
      <c r="Q72" s="226"/>
    </row>
    <row r="73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9" t="s">
        <v>183</v>
      </c>
      <c r="O73" s="98"/>
      <c r="P73" s="98"/>
      <c r="Q73" s="98"/>
    </row>
    <row r="74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</row>
    <row r="75">
      <c r="A75" s="235" t="s">
        <v>337</v>
      </c>
      <c r="B75" s="223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M75" s="223"/>
      <c r="N75" s="223"/>
      <c r="O75" s="223"/>
      <c r="P75" s="223"/>
      <c r="Q75" s="223"/>
    </row>
    <row r="76">
      <c r="A76" s="236" t="s">
        <v>65</v>
      </c>
      <c r="B76" s="237" t="s">
        <v>197</v>
      </c>
      <c r="C76" s="238"/>
      <c r="D76" s="237" t="s">
        <v>198</v>
      </c>
      <c r="E76" s="238"/>
      <c r="F76" s="237" t="s">
        <v>199</v>
      </c>
      <c r="G76" s="238"/>
      <c r="H76" s="237" t="s">
        <v>200</v>
      </c>
      <c r="I76" s="238"/>
      <c r="J76" s="237" t="s">
        <v>201</v>
      </c>
      <c r="K76" s="238"/>
      <c r="L76" s="237" t="s">
        <v>202</v>
      </c>
      <c r="M76" s="238"/>
      <c r="N76" s="237" t="s">
        <v>203</v>
      </c>
      <c r="O76" s="238"/>
      <c r="P76" s="237" t="s">
        <v>107</v>
      </c>
      <c r="Q76" s="224" t="s">
        <v>332</v>
      </c>
    </row>
    <row r="77">
      <c r="A77" s="120" t="s">
        <v>82</v>
      </c>
      <c r="B77" s="107" t="s">
        <v>51</v>
      </c>
      <c r="C77" s="107">
        <v>8.0</v>
      </c>
      <c r="D77" s="107" t="s">
        <v>51</v>
      </c>
      <c r="E77" s="107">
        <v>8.0</v>
      </c>
      <c r="F77" s="80" t="s">
        <v>15</v>
      </c>
      <c r="G77" s="80">
        <v>4.0</v>
      </c>
      <c r="H77" s="107" t="s">
        <v>164</v>
      </c>
      <c r="I77" s="107">
        <v>8.0</v>
      </c>
      <c r="J77" s="107" t="s">
        <v>51</v>
      </c>
      <c r="K77" s="107">
        <v>8.0</v>
      </c>
      <c r="L77" s="107" t="s">
        <v>51</v>
      </c>
      <c r="M77" s="107">
        <v>8.0</v>
      </c>
      <c r="N77" s="159" t="s">
        <v>4</v>
      </c>
      <c r="O77" s="107">
        <v>0.0</v>
      </c>
      <c r="P77" s="96">
        <f t="shared" ref="P77:P91" si="5">C77+E77+G77+I77+K77+M77+O77</f>
        <v>44</v>
      </c>
      <c r="Q77" s="226"/>
    </row>
    <row r="78">
      <c r="A78" s="123" t="s">
        <v>90</v>
      </c>
      <c r="B78" s="97" t="s">
        <v>194</v>
      </c>
      <c r="C78" s="96">
        <v>4.0</v>
      </c>
      <c r="D78" s="96" t="s">
        <v>51</v>
      </c>
      <c r="E78" s="96">
        <v>8.0</v>
      </c>
      <c r="F78" s="112" t="s">
        <v>4</v>
      </c>
      <c r="G78" s="96">
        <v>0.0</v>
      </c>
      <c r="H78" s="96" t="s">
        <v>164</v>
      </c>
      <c r="I78" s="96">
        <v>8.0</v>
      </c>
      <c r="J78" s="96" t="s">
        <v>51</v>
      </c>
      <c r="K78" s="96">
        <v>8.0</v>
      </c>
      <c r="L78" s="96" t="s">
        <v>51</v>
      </c>
      <c r="M78" s="96">
        <v>8.0</v>
      </c>
      <c r="N78" s="80" t="s">
        <v>17</v>
      </c>
      <c r="O78" s="80">
        <v>8.0</v>
      </c>
      <c r="P78" s="96">
        <f t="shared" si="5"/>
        <v>44</v>
      </c>
      <c r="Q78" s="226"/>
    </row>
    <row r="79">
      <c r="A79" s="123" t="s">
        <v>88</v>
      </c>
      <c r="B79" s="97" t="s">
        <v>36</v>
      </c>
      <c r="C79" s="96">
        <v>8.0</v>
      </c>
      <c r="D79" s="96" t="s">
        <v>194</v>
      </c>
      <c r="E79" s="96">
        <v>4.0</v>
      </c>
      <c r="F79" s="112" t="s">
        <v>4</v>
      </c>
      <c r="G79" s="96">
        <v>0.0</v>
      </c>
      <c r="H79" s="96" t="s">
        <v>164</v>
      </c>
      <c r="I79" s="96">
        <v>8.0</v>
      </c>
      <c r="J79" s="96" t="s">
        <v>36</v>
      </c>
      <c r="K79" s="96">
        <v>8.0</v>
      </c>
      <c r="L79" s="96" t="s">
        <v>36</v>
      </c>
      <c r="M79" s="96">
        <v>8.0</v>
      </c>
      <c r="N79" s="80" t="s">
        <v>36</v>
      </c>
      <c r="O79" s="80">
        <v>8.0</v>
      </c>
      <c r="P79" s="96">
        <f t="shared" si="5"/>
        <v>44</v>
      </c>
      <c r="Q79" s="226"/>
    </row>
    <row r="80">
      <c r="A80" s="120" t="s">
        <v>70</v>
      </c>
      <c r="B80" s="96" t="s">
        <v>51</v>
      </c>
      <c r="C80" s="96">
        <v>8.0</v>
      </c>
      <c r="D80" s="96" t="s">
        <v>51</v>
      </c>
      <c r="E80" s="96">
        <v>8.0</v>
      </c>
      <c r="F80" s="112" t="s">
        <v>4</v>
      </c>
      <c r="G80" s="96">
        <v>0.0</v>
      </c>
      <c r="H80" s="96" t="s">
        <v>164</v>
      </c>
      <c r="I80" s="96">
        <v>8.0</v>
      </c>
      <c r="J80" s="96" t="s">
        <v>51</v>
      </c>
      <c r="K80" s="96">
        <v>8.0</v>
      </c>
      <c r="L80" s="96" t="s">
        <v>51</v>
      </c>
      <c r="M80" s="96">
        <v>8.0</v>
      </c>
      <c r="N80" s="112" t="s">
        <v>4</v>
      </c>
      <c r="O80" s="96">
        <v>0.0</v>
      </c>
      <c r="P80" s="96">
        <f t="shared" si="5"/>
        <v>40</v>
      </c>
      <c r="Q80" s="226"/>
    </row>
    <row r="81">
      <c r="A81" s="120" t="s">
        <v>72</v>
      </c>
      <c r="B81" s="96" t="s">
        <v>51</v>
      </c>
      <c r="C81" s="96">
        <v>8.0</v>
      </c>
      <c r="D81" s="96" t="s">
        <v>51</v>
      </c>
      <c r="E81" s="96">
        <v>8.0</v>
      </c>
      <c r="F81" s="80" t="s">
        <v>15</v>
      </c>
      <c r="G81" s="80">
        <v>4.0</v>
      </c>
      <c r="H81" s="96" t="s">
        <v>164</v>
      </c>
      <c r="I81" s="96">
        <v>8.0</v>
      </c>
      <c r="J81" s="96" t="s">
        <v>51</v>
      </c>
      <c r="K81" s="96">
        <v>8.0</v>
      </c>
      <c r="L81" s="96" t="s">
        <v>51</v>
      </c>
      <c r="M81" s="96">
        <v>8.0</v>
      </c>
      <c r="N81" s="112" t="s">
        <v>4</v>
      </c>
      <c r="O81" s="96">
        <v>0.0</v>
      </c>
      <c r="P81" s="96">
        <f t="shared" si="5"/>
        <v>44</v>
      </c>
      <c r="Q81" s="226"/>
    </row>
    <row r="82">
      <c r="A82" s="120" t="s">
        <v>96</v>
      </c>
      <c r="B82" s="96" t="s">
        <v>51</v>
      </c>
      <c r="C82" s="96">
        <v>8.0</v>
      </c>
      <c r="D82" s="96" t="s">
        <v>51</v>
      </c>
      <c r="E82" s="96">
        <v>8.0</v>
      </c>
      <c r="F82" s="80" t="s">
        <v>15</v>
      </c>
      <c r="G82" s="80">
        <v>4.0</v>
      </c>
      <c r="H82" s="96" t="s">
        <v>164</v>
      </c>
      <c r="I82" s="96">
        <v>0.0</v>
      </c>
      <c r="J82" s="96" t="s">
        <v>51</v>
      </c>
      <c r="K82" s="96">
        <v>8.0</v>
      </c>
      <c r="L82" s="96" t="s">
        <v>51</v>
      </c>
      <c r="M82" s="96">
        <v>8.0</v>
      </c>
      <c r="N82" s="96" t="s">
        <v>51</v>
      </c>
      <c r="O82" s="96">
        <v>8.0</v>
      </c>
      <c r="P82" s="96">
        <f t="shared" si="5"/>
        <v>44</v>
      </c>
      <c r="Q82" s="226"/>
    </row>
    <row r="83">
      <c r="A83" s="120" t="s">
        <v>92</v>
      </c>
      <c r="B83" s="97" t="s">
        <v>51</v>
      </c>
      <c r="C83" s="96">
        <v>8.0</v>
      </c>
      <c r="D83" s="96" t="s">
        <v>51</v>
      </c>
      <c r="E83" s="96">
        <v>8.0</v>
      </c>
      <c r="F83" s="80" t="s">
        <v>15</v>
      </c>
      <c r="G83" s="80">
        <v>4.0</v>
      </c>
      <c r="H83" s="96" t="s">
        <v>164</v>
      </c>
      <c r="I83" s="96">
        <v>8.0</v>
      </c>
      <c r="J83" s="96" t="s">
        <v>51</v>
      </c>
      <c r="K83" s="96">
        <v>8.0</v>
      </c>
      <c r="L83" s="96" t="s">
        <v>51</v>
      </c>
      <c r="M83" s="96">
        <v>8.0</v>
      </c>
      <c r="N83" s="112" t="s">
        <v>4</v>
      </c>
      <c r="O83" s="96">
        <v>0.0</v>
      </c>
      <c r="P83" s="96">
        <f t="shared" si="5"/>
        <v>44</v>
      </c>
      <c r="Q83" s="226"/>
    </row>
    <row r="84">
      <c r="A84" s="239" t="s">
        <v>76</v>
      </c>
      <c r="B84" s="97" t="s">
        <v>51</v>
      </c>
      <c r="C84" s="96">
        <v>8.0</v>
      </c>
      <c r="D84" s="96" t="s">
        <v>51</v>
      </c>
      <c r="E84" s="96">
        <v>8.0</v>
      </c>
      <c r="F84" s="112" t="s">
        <v>4</v>
      </c>
      <c r="G84" s="96">
        <v>0.0</v>
      </c>
      <c r="H84" s="96" t="s">
        <v>164</v>
      </c>
      <c r="I84" s="96">
        <v>8.0</v>
      </c>
      <c r="J84" s="96" t="s">
        <v>51</v>
      </c>
      <c r="K84" s="96">
        <v>8.0</v>
      </c>
      <c r="L84" s="96" t="s">
        <v>51</v>
      </c>
      <c r="M84" s="96">
        <v>8.0</v>
      </c>
      <c r="N84" s="96" t="s">
        <v>51</v>
      </c>
      <c r="O84" s="96">
        <v>8.0</v>
      </c>
      <c r="P84" s="96">
        <f t="shared" si="5"/>
        <v>48</v>
      </c>
      <c r="Q84" s="226"/>
    </row>
    <row r="85">
      <c r="A85" s="120" t="s">
        <v>74</v>
      </c>
      <c r="B85" s="96" t="s">
        <v>17</v>
      </c>
      <c r="C85" s="96">
        <v>8.0</v>
      </c>
      <c r="D85" s="96" t="s">
        <v>17</v>
      </c>
      <c r="E85" s="96">
        <v>8.0</v>
      </c>
      <c r="F85" s="80" t="s">
        <v>15</v>
      </c>
      <c r="G85" s="80">
        <v>4.0</v>
      </c>
      <c r="H85" s="96" t="s">
        <v>164</v>
      </c>
      <c r="I85" s="96">
        <v>8.0</v>
      </c>
      <c r="J85" s="96" t="s">
        <v>17</v>
      </c>
      <c r="K85" s="96">
        <v>8.0</v>
      </c>
      <c r="L85" s="96" t="s">
        <v>17</v>
      </c>
      <c r="M85" s="96">
        <v>8.0</v>
      </c>
      <c r="N85" s="112" t="s">
        <v>4</v>
      </c>
      <c r="O85" s="96">
        <v>0.0</v>
      </c>
      <c r="P85" s="96">
        <f t="shared" si="5"/>
        <v>44</v>
      </c>
      <c r="Q85" s="226"/>
    </row>
    <row r="86">
      <c r="A86" s="120" t="s">
        <v>84</v>
      </c>
      <c r="B86" s="97" t="s">
        <v>51</v>
      </c>
      <c r="C86" s="96">
        <v>8.0</v>
      </c>
      <c r="D86" s="96" t="s">
        <v>51</v>
      </c>
      <c r="E86" s="96">
        <v>8.0</v>
      </c>
      <c r="F86" s="80" t="s">
        <v>15</v>
      </c>
      <c r="G86" s="80">
        <v>4.0</v>
      </c>
      <c r="H86" s="96" t="s">
        <v>164</v>
      </c>
      <c r="I86" s="96">
        <v>8.0</v>
      </c>
      <c r="J86" s="96" t="s">
        <v>51</v>
      </c>
      <c r="K86" s="96">
        <v>8.0</v>
      </c>
      <c r="L86" s="96" t="s">
        <v>51</v>
      </c>
      <c r="M86" s="96">
        <v>8.0</v>
      </c>
      <c r="N86" s="112" t="s">
        <v>4</v>
      </c>
      <c r="O86" s="96">
        <v>0.0</v>
      </c>
      <c r="P86" s="96">
        <f t="shared" si="5"/>
        <v>44</v>
      </c>
      <c r="Q86" s="226"/>
    </row>
    <row r="87">
      <c r="A87" s="120" t="s">
        <v>98</v>
      </c>
      <c r="B87" s="97" t="s">
        <v>51</v>
      </c>
      <c r="C87" s="96">
        <v>8.0</v>
      </c>
      <c r="D87" s="96" t="s">
        <v>51</v>
      </c>
      <c r="E87" s="96">
        <v>8.0</v>
      </c>
      <c r="F87" s="112" t="s">
        <v>4</v>
      </c>
      <c r="G87" s="96">
        <v>0.0</v>
      </c>
      <c r="H87" s="96" t="s">
        <v>164</v>
      </c>
      <c r="I87" s="96">
        <v>0.0</v>
      </c>
      <c r="J87" s="96" t="s">
        <v>51</v>
      </c>
      <c r="K87" s="96">
        <v>8.0</v>
      </c>
      <c r="L87" s="96" t="s">
        <v>51</v>
      </c>
      <c r="M87" s="96">
        <v>8.0</v>
      </c>
      <c r="N87" s="96" t="s">
        <v>51</v>
      </c>
      <c r="O87" s="96">
        <v>8.0</v>
      </c>
      <c r="P87" s="96">
        <f t="shared" si="5"/>
        <v>40</v>
      </c>
      <c r="Q87" s="226"/>
    </row>
    <row r="88">
      <c r="A88" s="120" t="s">
        <v>80</v>
      </c>
      <c r="B88" s="97" t="s">
        <v>36</v>
      </c>
      <c r="C88" s="96">
        <v>8.0</v>
      </c>
      <c r="D88" s="96" t="s">
        <v>36</v>
      </c>
      <c r="E88" s="96">
        <v>8.0</v>
      </c>
      <c r="F88" s="80" t="s">
        <v>15</v>
      </c>
      <c r="G88" s="80">
        <v>4.0</v>
      </c>
      <c r="H88" s="96" t="s">
        <v>164</v>
      </c>
      <c r="I88" s="96">
        <v>8.0</v>
      </c>
      <c r="J88" s="96" t="s">
        <v>36</v>
      </c>
      <c r="K88" s="96">
        <v>8.0</v>
      </c>
      <c r="L88" s="96" t="s">
        <v>36</v>
      </c>
      <c r="M88" s="96">
        <v>8.0</v>
      </c>
      <c r="N88" s="112" t="s">
        <v>4</v>
      </c>
      <c r="O88" s="96">
        <v>0.0</v>
      </c>
      <c r="P88" s="96">
        <f t="shared" si="5"/>
        <v>44</v>
      </c>
      <c r="Q88" s="226"/>
    </row>
    <row r="89">
      <c r="A89" s="123" t="s">
        <v>78</v>
      </c>
      <c r="B89" s="97" t="s">
        <v>51</v>
      </c>
      <c r="C89" s="96">
        <v>8.0</v>
      </c>
      <c r="D89" s="96" t="s">
        <v>51</v>
      </c>
      <c r="E89" s="96">
        <v>8.0</v>
      </c>
      <c r="F89" s="112" t="s">
        <v>4</v>
      </c>
      <c r="G89" s="96">
        <v>0.0</v>
      </c>
      <c r="H89" s="112" t="s">
        <v>4</v>
      </c>
      <c r="I89" s="96">
        <v>0.0</v>
      </c>
      <c r="J89" s="96" t="s">
        <v>51</v>
      </c>
      <c r="K89" s="96">
        <v>8.0</v>
      </c>
      <c r="L89" s="96" t="s">
        <v>51</v>
      </c>
      <c r="M89" s="96">
        <v>8.0</v>
      </c>
      <c r="N89" s="96" t="s">
        <v>51</v>
      </c>
      <c r="O89" s="96">
        <v>8.0</v>
      </c>
      <c r="P89" s="96">
        <f t="shared" si="5"/>
        <v>40</v>
      </c>
      <c r="Q89" s="226"/>
    </row>
    <row r="90">
      <c r="A90" s="120" t="s">
        <v>94</v>
      </c>
      <c r="B90" s="97" t="s">
        <v>36</v>
      </c>
      <c r="C90" s="96">
        <v>8.0</v>
      </c>
      <c r="D90" s="96" t="s">
        <v>194</v>
      </c>
      <c r="E90" s="96">
        <v>4.0</v>
      </c>
      <c r="F90" s="112" t="s">
        <v>4</v>
      </c>
      <c r="G90" s="96">
        <v>0.0</v>
      </c>
      <c r="H90" s="96" t="s">
        <v>164</v>
      </c>
      <c r="I90" s="96">
        <v>0.0</v>
      </c>
      <c r="J90" s="96" t="s">
        <v>36</v>
      </c>
      <c r="K90" s="96">
        <v>8.0</v>
      </c>
      <c r="L90" s="96" t="s">
        <v>36</v>
      </c>
      <c r="M90" s="96">
        <v>8.0</v>
      </c>
      <c r="N90" s="96" t="s">
        <v>36</v>
      </c>
      <c r="O90" s="96">
        <v>8.0</v>
      </c>
      <c r="P90" s="96">
        <f t="shared" si="5"/>
        <v>36</v>
      </c>
      <c r="Q90" s="226"/>
    </row>
    <row r="91">
      <c r="A91" s="239" t="s">
        <v>86</v>
      </c>
      <c r="B91" s="96" t="s">
        <v>17</v>
      </c>
      <c r="C91" s="96">
        <v>8.0</v>
      </c>
      <c r="D91" s="96" t="s">
        <v>17</v>
      </c>
      <c r="E91" s="96">
        <v>8.0</v>
      </c>
      <c r="F91" s="112" t="s">
        <v>4</v>
      </c>
      <c r="G91" s="96">
        <v>0.0</v>
      </c>
      <c r="H91" s="96" t="s">
        <v>164</v>
      </c>
      <c r="I91" s="96">
        <v>8.0</v>
      </c>
      <c r="J91" s="96" t="s">
        <v>17</v>
      </c>
      <c r="K91" s="96">
        <v>8.0</v>
      </c>
      <c r="L91" s="96" t="s">
        <v>17</v>
      </c>
      <c r="M91" s="96">
        <v>8.0</v>
      </c>
      <c r="N91" s="96" t="s">
        <v>51</v>
      </c>
      <c r="O91" s="96">
        <v>8.0</v>
      </c>
      <c r="P91" s="96">
        <f t="shared" si="5"/>
        <v>48</v>
      </c>
      <c r="Q91" s="226"/>
    </row>
    <row r="92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99" t="s">
        <v>183</v>
      </c>
      <c r="O92" s="102"/>
      <c r="P92" s="96"/>
      <c r="Q92" s="10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53.14"/>
    <col customWidth="1" min="3" max="3" width="26.43"/>
    <col customWidth="1" min="4" max="26" width="10.71"/>
  </cols>
  <sheetData>
    <row r="1" ht="14.25" customHeight="1">
      <c r="A1" s="243" t="s">
        <v>343</v>
      </c>
      <c r="B1" s="244" t="s">
        <v>344</v>
      </c>
      <c r="C1" s="245" t="s">
        <v>345</v>
      </c>
    </row>
    <row r="2" ht="14.25" customHeight="1">
      <c r="A2" s="19" t="s">
        <v>346</v>
      </c>
      <c r="B2" s="246" t="s">
        <v>347</v>
      </c>
      <c r="C2" s="247"/>
    </row>
    <row r="3" ht="32.25" customHeight="1">
      <c r="A3" s="248" t="s">
        <v>72</v>
      </c>
      <c r="B3" s="249" t="s">
        <v>348</v>
      </c>
      <c r="C3" s="247"/>
    </row>
    <row r="4" ht="14.25" customHeight="1">
      <c r="A4" s="19" t="s">
        <v>349</v>
      </c>
      <c r="B4" s="246" t="s">
        <v>347</v>
      </c>
      <c r="C4" s="247"/>
    </row>
    <row r="5" ht="14.25" customHeight="1">
      <c r="A5" s="248" t="s">
        <v>350</v>
      </c>
      <c r="B5" s="250" t="s">
        <v>351</v>
      </c>
      <c r="C5" s="247"/>
    </row>
    <row r="6" ht="14.25" customHeight="1">
      <c r="A6" s="31" t="s">
        <v>78</v>
      </c>
      <c r="B6" s="246" t="s">
        <v>347</v>
      </c>
      <c r="C6" s="247"/>
    </row>
    <row r="7" ht="14.25" customHeight="1">
      <c r="A7" s="19" t="s">
        <v>80</v>
      </c>
      <c r="B7" s="246" t="s">
        <v>347</v>
      </c>
      <c r="C7" s="247"/>
    </row>
    <row r="8" ht="14.25" customHeight="1">
      <c r="A8" s="19" t="s">
        <v>352</v>
      </c>
      <c r="B8" s="246" t="s">
        <v>347</v>
      </c>
      <c r="C8" s="247"/>
    </row>
    <row r="9" ht="14.25" customHeight="1">
      <c r="A9" s="248" t="s">
        <v>84</v>
      </c>
      <c r="B9" s="251" t="s">
        <v>353</v>
      </c>
      <c r="C9" s="247"/>
    </row>
    <row r="10" ht="14.25" customHeight="1">
      <c r="A10" s="248" t="s">
        <v>354</v>
      </c>
      <c r="B10" s="250" t="s">
        <v>355</v>
      </c>
      <c r="C10" s="247"/>
    </row>
    <row r="11" ht="14.25" customHeight="1">
      <c r="A11" s="31" t="s">
        <v>356</v>
      </c>
      <c r="B11" s="251" t="s">
        <v>357</v>
      </c>
      <c r="C11" s="247"/>
    </row>
    <row r="12" ht="14.25" customHeight="1">
      <c r="A12" s="31" t="s">
        <v>90</v>
      </c>
      <c r="B12" s="251" t="s">
        <v>357</v>
      </c>
      <c r="C12" s="247"/>
    </row>
    <row r="13" ht="14.25" customHeight="1">
      <c r="A13" s="19" t="s">
        <v>358</v>
      </c>
      <c r="B13" s="251" t="s">
        <v>357</v>
      </c>
      <c r="C13" s="247"/>
    </row>
    <row r="14" ht="14.25" customHeight="1">
      <c r="A14" s="19" t="s">
        <v>94</v>
      </c>
      <c r="B14" s="251" t="s">
        <v>359</v>
      </c>
      <c r="C14" s="252" t="s">
        <v>360</v>
      </c>
    </row>
    <row r="15" ht="14.25" customHeight="1">
      <c r="A15" s="19" t="s">
        <v>96</v>
      </c>
      <c r="B15" s="251" t="s">
        <v>357</v>
      </c>
      <c r="C15" s="247"/>
    </row>
    <row r="16" ht="14.25" customHeight="1">
      <c r="A16" s="19" t="s">
        <v>98</v>
      </c>
      <c r="B16" s="246" t="s">
        <v>347</v>
      </c>
      <c r="C16" s="24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headerFooter>
    <oddFooter>&amp;C_x000D_#000000 [Public]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19.0"/>
    <col customWidth="1" min="3" max="3" width="18.14"/>
  </cols>
  <sheetData>
    <row r="1">
      <c r="A1" s="253" t="s">
        <v>234</v>
      </c>
      <c r="B1" s="254"/>
      <c r="C1" s="254"/>
      <c r="D1" s="254"/>
      <c r="E1" s="181"/>
    </row>
    <row r="2">
      <c r="A2" s="255" t="s">
        <v>361</v>
      </c>
      <c r="B2" s="256" t="s">
        <v>362</v>
      </c>
      <c r="C2" s="181"/>
      <c r="D2" s="256">
        <v>2026.0</v>
      </c>
      <c r="E2" s="181"/>
    </row>
    <row r="3">
      <c r="A3" s="257" t="s">
        <v>350</v>
      </c>
      <c r="B3" s="258">
        <v>4.82</v>
      </c>
      <c r="C3" s="259"/>
      <c r="D3" s="260">
        <v>176.0</v>
      </c>
      <c r="E3" s="260" t="s">
        <v>363</v>
      </c>
    </row>
    <row r="4">
      <c r="A4" s="257" t="s">
        <v>98</v>
      </c>
      <c r="B4" s="258">
        <v>27.48</v>
      </c>
      <c r="C4" s="106" t="s">
        <v>364</v>
      </c>
      <c r="D4" s="260">
        <v>176.0</v>
      </c>
      <c r="E4" s="260" t="s">
        <v>363</v>
      </c>
    </row>
    <row r="5">
      <c r="A5" s="257" t="s">
        <v>365</v>
      </c>
      <c r="B5" s="258">
        <v>27.48</v>
      </c>
      <c r="C5" s="106" t="s">
        <v>364</v>
      </c>
      <c r="D5" s="260">
        <v>176.0</v>
      </c>
      <c r="E5" s="260" t="s">
        <v>363</v>
      </c>
    </row>
    <row r="6">
      <c r="A6" s="257" t="s">
        <v>96</v>
      </c>
      <c r="B6" s="258">
        <v>27.48</v>
      </c>
      <c r="C6" s="106" t="s">
        <v>364</v>
      </c>
      <c r="D6" s="260">
        <v>176.0</v>
      </c>
      <c r="E6" s="260" t="s">
        <v>363</v>
      </c>
    </row>
    <row r="7">
      <c r="A7" s="257" t="s">
        <v>346</v>
      </c>
      <c r="B7" s="258">
        <v>28.45</v>
      </c>
      <c r="C7" s="106" t="s">
        <v>366</v>
      </c>
      <c r="D7" s="260">
        <v>176.0</v>
      </c>
      <c r="E7" s="260" t="s">
        <v>363</v>
      </c>
    </row>
    <row r="8">
      <c r="A8" s="257" t="s">
        <v>358</v>
      </c>
      <c r="B8" s="258">
        <v>26.52</v>
      </c>
      <c r="C8" s="106" t="s">
        <v>367</v>
      </c>
      <c r="D8" s="260">
        <v>176.0</v>
      </c>
      <c r="E8" s="260" t="s">
        <v>363</v>
      </c>
    </row>
    <row r="9">
      <c r="A9" s="257" t="s">
        <v>368</v>
      </c>
      <c r="B9" s="259"/>
      <c r="C9" s="259"/>
      <c r="D9" s="260">
        <v>176.0</v>
      </c>
      <c r="E9" s="260" t="s">
        <v>363</v>
      </c>
    </row>
    <row r="10">
      <c r="A10" s="257" t="s">
        <v>352</v>
      </c>
      <c r="B10" s="258">
        <v>13.5</v>
      </c>
      <c r="C10" s="106" t="s">
        <v>369</v>
      </c>
      <c r="D10" s="260">
        <v>176.0</v>
      </c>
      <c r="E10" s="260" t="s">
        <v>363</v>
      </c>
    </row>
    <row r="11">
      <c r="A11" s="257" t="s">
        <v>94</v>
      </c>
      <c r="B11" s="258">
        <v>21.7</v>
      </c>
      <c r="C11" s="106" t="s">
        <v>370</v>
      </c>
      <c r="D11" s="260">
        <v>176.0</v>
      </c>
      <c r="E11" s="260" t="s">
        <v>363</v>
      </c>
    </row>
    <row r="12">
      <c r="A12" s="257" t="s">
        <v>84</v>
      </c>
      <c r="B12" s="258">
        <v>28.45</v>
      </c>
      <c r="C12" s="106" t="s">
        <v>371</v>
      </c>
      <c r="D12" s="260">
        <v>176.0</v>
      </c>
      <c r="E12" s="260" t="s">
        <v>363</v>
      </c>
    </row>
    <row r="13">
      <c r="A13" s="257" t="s">
        <v>356</v>
      </c>
      <c r="B13" s="258">
        <v>6.27</v>
      </c>
      <c r="C13" s="259"/>
      <c r="D13" s="260">
        <v>176.0</v>
      </c>
      <c r="E13" s="260" t="s">
        <v>363</v>
      </c>
    </row>
    <row r="14">
      <c r="A14" s="257" t="s">
        <v>372</v>
      </c>
      <c r="B14" s="258">
        <v>10.61</v>
      </c>
      <c r="C14" s="106" t="s">
        <v>373</v>
      </c>
      <c r="D14" s="260">
        <v>176.0</v>
      </c>
      <c r="E14" s="260" t="s">
        <v>363</v>
      </c>
    </row>
    <row r="15">
      <c r="A15" s="257" t="s">
        <v>90</v>
      </c>
      <c r="B15" s="259"/>
      <c r="C15" s="259"/>
      <c r="D15" s="260">
        <v>176.0</v>
      </c>
      <c r="E15" s="260" t="s">
        <v>363</v>
      </c>
    </row>
    <row r="16">
      <c r="A16" s="257" t="s">
        <v>72</v>
      </c>
      <c r="B16" s="258">
        <v>26.52</v>
      </c>
      <c r="C16" s="106" t="s">
        <v>367</v>
      </c>
      <c r="D16" s="260">
        <v>176.0</v>
      </c>
      <c r="E16" s="260" t="s">
        <v>363</v>
      </c>
    </row>
    <row r="17">
      <c r="A17" s="257" t="s">
        <v>374</v>
      </c>
      <c r="B17" s="258">
        <v>27.48</v>
      </c>
      <c r="C17" s="106" t="s">
        <v>364</v>
      </c>
      <c r="D17" s="260">
        <v>176.0</v>
      </c>
      <c r="E17" s="260" t="s">
        <v>363</v>
      </c>
    </row>
    <row r="18">
      <c r="A18" s="102"/>
      <c r="B18" s="102"/>
      <c r="C18" s="102"/>
      <c r="D18" s="102"/>
      <c r="E18" s="102"/>
    </row>
    <row r="19">
      <c r="A19" s="102"/>
      <c r="B19" s="102"/>
      <c r="C19" s="102"/>
      <c r="D19" s="102"/>
      <c r="E19" s="102"/>
    </row>
    <row r="20">
      <c r="A20" s="261" t="s">
        <v>375</v>
      </c>
      <c r="B20" s="262"/>
      <c r="C20" s="263"/>
      <c r="D20" s="102"/>
      <c r="E20" s="102"/>
    </row>
    <row r="21">
      <c r="A21" s="264" t="s">
        <v>361</v>
      </c>
      <c r="B21" s="265" t="s">
        <v>376</v>
      </c>
      <c r="C21" s="266" t="s">
        <v>377</v>
      </c>
      <c r="D21" s="267" t="s">
        <v>378</v>
      </c>
      <c r="E21" s="102"/>
    </row>
    <row r="22">
      <c r="A22" s="257" t="s">
        <v>350</v>
      </c>
      <c r="B22" s="260">
        <v>12.0</v>
      </c>
      <c r="C22" s="259"/>
      <c r="D22" s="258">
        <v>12.0</v>
      </c>
      <c r="E22" s="102"/>
    </row>
    <row r="23">
      <c r="A23" s="257" t="s">
        <v>98</v>
      </c>
      <c r="B23" s="260">
        <v>8.0</v>
      </c>
      <c r="C23" s="259"/>
      <c r="D23" s="258">
        <v>8.0</v>
      </c>
      <c r="E23" s="102"/>
    </row>
    <row r="24">
      <c r="A24" s="257" t="s">
        <v>365</v>
      </c>
      <c r="B24" s="260">
        <v>20.0</v>
      </c>
      <c r="C24" s="259"/>
      <c r="D24" s="258">
        <v>20.0</v>
      </c>
      <c r="E24" s="102"/>
    </row>
    <row r="25">
      <c r="A25" s="257" t="s">
        <v>96</v>
      </c>
      <c r="B25" s="260">
        <v>4.0</v>
      </c>
      <c r="C25" s="259"/>
      <c r="D25" s="258">
        <v>4.0</v>
      </c>
      <c r="E25" s="102"/>
    </row>
    <row r="26">
      <c r="A26" s="257" t="s">
        <v>346</v>
      </c>
      <c r="B26" s="260">
        <v>4.0</v>
      </c>
      <c r="C26" s="259"/>
      <c r="D26" s="258">
        <v>4.0</v>
      </c>
      <c r="E26" s="102"/>
    </row>
    <row r="27">
      <c r="A27" s="257" t="s">
        <v>358</v>
      </c>
      <c r="B27" s="260">
        <v>20.0</v>
      </c>
      <c r="C27" s="258">
        <v>8.0</v>
      </c>
      <c r="D27" s="258">
        <v>28.0</v>
      </c>
      <c r="E27" s="102"/>
    </row>
    <row r="28">
      <c r="A28" s="257" t="s">
        <v>368</v>
      </c>
      <c r="B28" s="268"/>
      <c r="C28" s="259"/>
      <c r="D28" s="258">
        <v>0.0</v>
      </c>
      <c r="E28" s="102"/>
    </row>
    <row r="29">
      <c r="A29" s="257" t="s">
        <v>352</v>
      </c>
      <c r="B29" s="260">
        <v>4.0</v>
      </c>
      <c r="C29" s="258">
        <v>8.0</v>
      </c>
      <c r="D29" s="258">
        <v>12.0</v>
      </c>
      <c r="E29" s="102"/>
    </row>
    <row r="30">
      <c r="A30" s="257" t="s">
        <v>94</v>
      </c>
      <c r="B30" s="268"/>
      <c r="C30" s="259"/>
      <c r="D30" s="258">
        <v>0.0</v>
      </c>
      <c r="E30" s="102"/>
    </row>
    <row r="31">
      <c r="A31" s="257" t="s">
        <v>84</v>
      </c>
      <c r="B31" s="268"/>
      <c r="C31" s="258">
        <v>16.0</v>
      </c>
      <c r="D31" s="258">
        <v>16.0</v>
      </c>
      <c r="E31" s="102"/>
    </row>
    <row r="32">
      <c r="A32" s="257" t="s">
        <v>356</v>
      </c>
      <c r="B32" s="268"/>
      <c r="C32" s="259"/>
      <c r="D32" s="258">
        <v>0.0</v>
      </c>
      <c r="E32" s="102"/>
    </row>
    <row r="33">
      <c r="A33" s="257" t="s">
        <v>372</v>
      </c>
      <c r="B33" s="260">
        <v>4.0</v>
      </c>
      <c r="C33" s="259"/>
      <c r="D33" s="258">
        <v>4.0</v>
      </c>
      <c r="E33" s="102"/>
    </row>
    <row r="34">
      <c r="A34" s="257" t="s">
        <v>90</v>
      </c>
      <c r="B34" s="268"/>
      <c r="C34" s="259"/>
      <c r="D34" s="258">
        <v>0.0</v>
      </c>
      <c r="E34" s="102"/>
    </row>
    <row r="35">
      <c r="A35" s="257" t="s">
        <v>72</v>
      </c>
      <c r="B35" s="260">
        <v>4.0</v>
      </c>
      <c r="C35" s="259"/>
      <c r="D35" s="258">
        <v>4.0</v>
      </c>
      <c r="E35" s="102"/>
    </row>
    <row r="36">
      <c r="A36" s="257" t="s">
        <v>374</v>
      </c>
      <c r="B36" s="268"/>
      <c r="C36" s="259"/>
      <c r="D36" s="258">
        <v>0.0</v>
      </c>
      <c r="E36" s="102"/>
    </row>
  </sheetData>
  <mergeCells count="4">
    <mergeCell ref="A1:E1"/>
    <mergeCell ref="B2:C2"/>
    <mergeCell ref="D2:E2"/>
    <mergeCell ref="A20:B2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Medrano Gomez, Eduardo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0x010100F0F56559CA973242A1A1F668835F9C0D</vt:lpwstr>
  </property>
  <property fmtid="{D5CDD505-2E9C-101B-9397-08002B2CF9AE}" pid="3" name="MediaServiceImageTags">
    <vt:lpwstr/>
  </property>
</Properties>
</file>